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5. CV Phòng\Năm 2026\90. Thông báo nhiệm vụ lập đầu mối KT\Anh Tân duyệt\"/>
    </mc:Choice>
  </mc:AlternateContent>
  <xr:revisionPtr revIDLastSave="0" documentId="13_ncr:1_{6A8A6322-5E3C-4E9A-8BF7-AD3FB9BA2415}" xr6:coauthVersionLast="47" xr6:coauthVersionMax="47" xr10:uidLastSave="{00000000-0000-0000-0000-000000000000}"/>
  <bookViews>
    <workbookView xWindow="-108" yWindow="-108" windowWidth="23256" windowHeight="13896" activeTab="1" xr2:uid="{00000000-000D-0000-FFFF-FFFF00000000}"/>
  </bookViews>
  <sheets>
    <sheet name="PL01" sheetId="1" r:id="rId1"/>
    <sheet name="PL02" sheetId="2" r:id="rId2"/>
  </sheets>
  <definedNames>
    <definedName name="_xlnm._FilterDatabase" localSheetId="1" hidden="1">'PL02'!$A$6:$D$6</definedName>
    <definedName name="bookmark10" localSheetId="0">'PL01'!$A$1</definedName>
    <definedName name="bookmark13" localSheetId="1">'PL02'!$A$1</definedName>
    <definedName name="_xlnm.Print_Titles" localSheetId="0">'PL01'!$7:$8</definedName>
    <definedName name="_xlnm.Print_Titles" localSheetId="1">'PL02'!$6:$6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 i="1" l="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C31" i="2"/>
  <c r="C28" i="2"/>
  <c r="C21" i="2"/>
  <c r="C9" i="2"/>
  <c r="C10" i="2"/>
  <c r="C11" i="2"/>
  <c r="C17" i="2"/>
  <c r="C19" i="2"/>
  <c r="C20" i="2"/>
  <c r="C18" i="2"/>
  <c r="B31" i="2"/>
  <c r="B28" i="2"/>
  <c r="B21" i="2"/>
  <c r="B9" i="2"/>
  <c r="B10" i="2"/>
  <c r="B11" i="2"/>
  <c r="B17" i="2"/>
  <c r="B19" i="2"/>
  <c r="B20" i="2"/>
  <c r="B18" i="2"/>
  <c r="A8" i="2"/>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alcChain>
</file>

<file path=xl/sharedStrings.xml><?xml version="1.0" encoding="utf-8"?>
<sst xmlns="http://schemas.openxmlformats.org/spreadsheetml/2006/main" count="544" uniqueCount="315">
  <si>
    <t>BIỂU SỐ 01</t>
  </si>
  <si>
    <t>DANH MỤC NGUỒN DỮ LIỆU PHỤC VỤ HOẠT ĐỘNG KIỂM TOÁN</t>
  </si>
  <si>
    <t>STT</t>
  </si>
  <si>
    <t>Mã nguồn</t>
  </si>
  <si>
    <t>Lĩnh vực kiểm toán</t>
  </si>
  <si>
    <t>Giai đoạn, nhiệm vụ sử dụng dữ liệu</t>
  </si>
  <si>
    <t>Nhóm dữ liệu</t>
  </si>
  <si>
    <t>Tên dữ liệu chi tiết cần khai thác</t>
  </si>
  <si>
    <t>Nội dung, chỉ tiêu chủ yếu cần khai thác</t>
  </si>
  <si>
    <t>Cơ quan, tổ chức quản lý, lưu giữ</t>
  </si>
  <si>
    <t>Loại nguồn</t>
  </si>
  <si>
    <t>Hình thức dữ liệu hiện có</t>
  </si>
  <si>
    <t>Mục đích sử dụng cụ thể trong hoạt động kiểm toán</t>
  </si>
  <si>
    <t>Mức độ sử dụng</t>
  </si>
  <si>
    <t>A1, A2</t>
  </si>
  <si>
    <t>Thường xuyên</t>
  </si>
  <si>
    <t>Khai thác phục vụ công tác chuẩn bị kiểm toán, thực hiện kiểm toán các cuộc kiểm toán ngân sách địa phương, báo cáo ngân sách địa phương, chuyên đề có liên quan</t>
  </si>
  <si>
    <t>BIỂU SỐ 02</t>
  </si>
  <si>
    <t>NGUỒN DỮ LIỆU ĐỀ NGHỊ ƯU TIÊN KẾT NỐI, KHAI THÁC TRƯỚC</t>
  </si>
  <si>
    <t>Thứ tự ưu tiên</t>
  </si>
  <si>
    <t>Tên dữ liệu</t>
  </si>
  <si>
    <t>Lý do đề nghị ưu tiên</t>
  </si>
  <si>
    <t>Chủ trương và quyết định đầu tư</t>
  </si>
  <si>
    <t>ĐT-01</t>
  </si>
  <si>
    <t>Quyết định chủ trương đầu tư; quyết định phê duyệt dự án và các quyết định điều chỉnh</t>
  </si>
  <si>
    <t>Kế hoạch vốn đầu tư công</t>
  </si>
  <si>
    <t xml:space="preserve"> Kế hoạch đầu tư công trung hạn và hằng năm; giao và điều chỉnh 
kế hoạch vốn</t>
  </si>
  <si>
    <t xml:space="preserve">
Người quyết định đầu tư; chủ đầu tư</t>
  </si>
  <si>
    <t>Cơ quan kế hoạch, tài chính</t>
  </si>
  <si>
    <t>ĐT-02</t>
  </si>
  <si>
    <t>ĐT-03</t>
  </si>
  <si>
    <t>ĐT-04</t>
  </si>
  <si>
    <t>ĐT-05</t>
  </si>
  <si>
    <t>Thiết kế, dự toán</t>
  </si>
  <si>
    <t>Hồ sơ thiết kế, dự toán; kết quả thẩm định và quyết định phê 
duyệt dự toán</t>
  </si>
  <si>
    <t>Chủ đầu tư; cơ quan thẩm định</t>
  </si>
  <si>
    <t xml:space="preserve"> Lựa chọn nhà thầu</t>
  </si>
  <si>
    <t>Chủ đầu tư; Hệ thống mạng đấu thầu quốc gia</t>
  </si>
  <si>
    <t xml:space="preserve"> Hợp đồng</t>
  </si>
  <si>
    <t>Hợp đồng và phụ lục hợp đồng xây lắp, tư vấn, cung cấp thiết bị</t>
  </si>
  <si>
    <t>Chủ đầu tư</t>
  </si>
  <si>
    <t>ĐT-06</t>
  </si>
  <si>
    <t>Nghiệm thu, thanh toán</t>
  </si>
  <si>
    <t xml:space="preserve"> Hồ sơ nghiệm thu, thanh toán khối lượng hoàn thành theo từng 
đợt</t>
  </si>
  <si>
    <t>Chủ đầu tư; cơ quan thanh toán vốn đầu tư</t>
  </si>
  <si>
    <t>ĐT-07</t>
  </si>
  <si>
    <t>ĐT-08</t>
  </si>
  <si>
    <t>Quyết toán dự án</t>
  </si>
  <si>
    <t>Chủ đầu tư; cơ quan tài chính</t>
  </si>
  <si>
    <t xml:space="preserve"> Định mức, đơn giá</t>
  </si>
  <si>
    <t xml:space="preserve"> Hệ thống định mức, đơn giá xây dựng; giá vật liệu xây dựng 
được công bố</t>
  </si>
  <si>
    <t>Cơ quan quản lý về xây dựng</t>
  </si>
  <si>
    <t>ĐT-09</t>
  </si>
  <si>
    <t xml:space="preserve"> Đất đai, giải phóng mặt bằng</t>
  </si>
  <si>
    <t xml:space="preserve"> Hồ sơ thu hồi đất, bồi thường, hỗ trợ, tái định cư của dự án</t>
  </si>
  <si>
    <t xml:space="preserve"> Cơ quan quản lý đất đai; tổ chức làm nhiệm vụ bồi 
thường</t>
  </si>
  <si>
    <t>ĐT-10</t>
  </si>
  <si>
    <t xml:space="preserve"> Bản đồ, hiện trạng công trình</t>
  </si>
  <si>
    <t>Cơ quan quản lý về đo đạc, bản đồ và viễn thám</t>
  </si>
  <si>
    <t>A1, A2, A4</t>
  </si>
  <si>
    <t>A1, A2, B1</t>
  </si>
  <si>
    <t>Không thường xuyên</t>
  </si>
  <si>
    <t>1, 3</t>
  </si>
  <si>
    <t>1, 2, 3</t>
  </si>
  <si>
    <t>1, 3, 6</t>
  </si>
  <si>
    <t>1, 2, 3, 4</t>
  </si>
  <si>
    <t xml:space="preserve"> Kế hoạch lựa chọn nhà thầu; hồ sơ mời thầu, hồ sơ dự thầu; kết quả lựa chọn nhà thầu</t>
  </si>
  <si>
    <t>1, 2, 3, 4, 5</t>
  </si>
  <si>
    <t>Dữ liệu bản đồ số, ảnh viễn thám phục vụ kiểm tra hiện trạng công trình</t>
  </si>
  <si>
    <t xml:space="preserve"> Báo cáo quyết toán và quyết định phê duyệt quyết toán dự án hoàn thành</t>
  </si>
  <si>
    <t>Tên dự án; mục tiêu, quy mô, địa điểm đầu tư; tổng mức đầu tư và cơ cấu nguồn vốn; thời gian, tiến độ thực hiện; chủ đầu tư; cấp quyết định đầu tư; thời điểm, số, ngày ban hành văn bản phê duyệt chủ trương đầu tư, quyết định đầu tư và các quyết định điều chỉnh; nội dung, giá trị và nguyên nhân điều chỉnh.</t>
  </si>
  <si>
    <t>Kế hoạch vốn trung hạn, hằng năm của từng dự án; nguồn vốn; số vốn được giao, điều chỉnh, bổ sung; thời điểm giao vốn; số vốn đã giải ngân; tỷ lệ giải ngân; số vốn còn lại, kéo dài hoặc hủy dự toán; tình hình bố trí vốn so với tổng mức đầu tư và tiến độ thực hiện dự án.</t>
  </si>
  <si>
    <t>Loại, cấp công trình; quy mô, công suất, giải pháp thiết kế chủ yếu; giá trị dự toán xây dựng, thiết bị, tư vấn, quản lý dự án, chi phí khác và dự phòng; khối lượng, đơn giá, định mức chủ yếu; giá trị và kết quả thẩm tra, thẩm định, phê duyệt; số, ngày quyết định phê duyệt; các lần điều chỉnh thiết kế, dự toán và giá trị điều chỉnh.</t>
  </si>
  <si>
    <t>Tên, mã gói thầu; giá gói thầu; nguồn vốn; hình thức, phương thức và thời gian lựa chọn nhà thầu; loại hợp đồng; thời gian thực hiện gói thầu; tên nhà thầu tham dự, nhà thầu trúng thầu; giá dự thầu, giá đánh giá, giá trúng thầu; tỷ lệ tiết kiệm; kết quả đánh giá hồ sơ dự thầu; số, ngày quyết định phê duyệt kết quả lựa chọn nhà thầu; kiến nghị, xử lý kiến nghị và vi phạm (nếu có).</t>
  </si>
  <si>
    <t>Số, ngày hợp đồng; tên nhà thầu; giá hợp đồng; loại hợp đồng; phạm vi, khối lượng công việc; thời gian thực hiện; điều kiện tạm ứng, thanh toán, bảo lãnh, bảo hành; các mốc tiến độ; giá trị, nội dung phát sinh, điều chỉnh; số, ngày và giá trị các phụ lục hợp đồng; gia hạn thời gian thực hiện; thưởng, phạt và xử lý vi phạm hợp đồng.</t>
  </si>
  <si>
    <t>Khối lượng, giá trị nghiệm thu theo từng đợt/hạng mục/gói thầu; thời điểm nghiệm thu; khối lượng phát sinh; giá trị tạm ứng, thu hồi tạm ứng; giá trị đề nghị thanh toán, giá trị được chấp nhận thanh toán và thực thanh toán; lũy kế thanh toán; thời điểm thanh toán; giá trị giảm trừ, từ chối thanh toán; công nợ và giá trị còn phải thanh toán.</t>
  </si>
  <si>
    <t>Tổng mức đầu tư được duyệt và điều chỉnh; tổng chi phí đầu tư đề nghị quyết toán; giá trị quyết toán được thẩm tra, phê duyệt theo từng khoản mục chi phí, nguồn vốn, hạng mục/gói thầu; giá trị tài sản hình thành qua đầu tư; công nợ, vật tư, thiết bị tồn đọng; chi phí không tính vào giá trị tài sản; giá trị giảm trừ qua thẩm tra; thời điểm lập, thẩm tra, phê duyệt quyết toán và thời gian thực hiện dự án.</t>
  </si>
  <si>
    <t>Mã hiệu, tên định mức/đơn giá; thành phần công việc; đơn vị tính; hao phí vật liệu, nhân công, máy thi công; đơn giá nhân công, giá ca máy; giá vật liệu đến hiện trường; nguồn công bố giá; thời điểm áp dụng; hệ số điều chỉnh; định mức mới, điều chỉnh hoặc vận dụng; khu vực và phạm vi áp dụng.</t>
  </si>
  <si>
    <t>Diện tích, loại đất thu hồi; số hộ/tổ chức bị ảnh hưởng; đơn giá và giá trị bồi thường về đất, tài sản, cây trồng, vật kiến trúc; các khoản hỗ trợ; số trường hợp và kinh phí tái định cư; tổng kinh phí bồi thường, hỗ trợ, tái định cư được phê duyệt và đã chi trả; diện tích đã bàn giao; tiến độ giải phóng mặt bằng; số trường hợp tồn đọng, khiếu nại.</t>
  </si>
  <si>
    <t>Vị trí, tọa độ, ranh giới, diện tích khu đất; phạm vi chiếm đất; quy mô, kích thước và hiện trạng các hạng mục công trình; cao độ, khoảng cách, tuyến, chiều dài; hiện trạng sử dụng đất và công trình; dữ liệu bản đồ, ảnh hiện trường theo thời điểm; biến động hiện trạng, khối lượng có thể xác định từ dữ liệu đo đạc, bản đồ và ảnh.</t>
  </si>
  <si>
    <t>Phục vụ phân tích giá gói thầu, giá dự thầu, giá trúng thầu, tỷ lệ tiết kiệm, nhà thầu tham dự/trúng thầu, hình thức lựa chọn nhà thầu; hỗ trợ nhận diện dấu hiệu hạn chế cạnh tranh, tỷ lệ tiết kiệm thấp, nhà thầu trúng thầu lặp lại và các bất thường trong đấu thầu.</t>
  </si>
  <si>
    <t>Là cơ sở xác định khối lượng, định mức, đơn giá và giá trị được phê duyệt, phục vụ kiểm tra tính đúng đắn của dự toán và đối chiếu với hồ sơ mời thầu, hợp đồng, nghiệm thu, thanh toán; có ảnh hưởng trực tiếp đến giá gói thầu và chi phí đầu tư.</t>
  </si>
  <si>
    <t>Là căn cứ xác định phạm vi công việc, giá hợp đồng, loại hợp đồng, tiến độ và điều kiện thanh toán; cần thiết để kiểm tra việc thực hiện hợp đồng, điều chỉnh giá, phát sinh khối lượng, gia hạn và nghiệm thu, thanh toán.</t>
  </si>
  <si>
    <t>Phản ánh toàn bộ chi phí đầu tư cuối cùng của dự án, cho phép tổng hợp và đối chiếu từ tổng mức đầu tư, hợp đồng, thanh toán đến giá trị quyết toán; phục vụ phát hiện chi phí không hợp lý, vượt dự toán và xác định giá trị tài sản hình thành qua đầu tư.</t>
  </si>
  <si>
    <t>Cung cấp dữ liệu nền về mục tiêu, quy mô, tổng mức đầu tư, nguồn vốn, tiến độ và các lần điều chỉnh dự án; phục vụ đánh giá tuân thủ trình tự đầu tư và nhận diện dự án điều chỉnh tổng mức đầu tư, quy mô hoặc tiến độ nhiều lần.</t>
  </si>
  <si>
    <t>Phục vụ kiểm tra bố trí, phân bổ và giải ngân vốn, nhận diện dự án bố trí vốn chưa phù hợp tiến độ, giải ngân thấp, kéo dài thời gian thực hiện hoặc phát sinh nợ đọng; hỗ trợ lựa chọn dự án có rủi ro để kiểm toán.</t>
  </si>
  <si>
    <t>Là dữ liệu tham chiếu quan trọng để kiểm tra dự toán, giá gói thầu, điều chỉnh giá và thanh toán, hỗ trợ tự động hóa việc xác định trường hợp áp dụng sai định mức, đơn giá hoặc giá vật liệu bất hợp lý.</t>
  </si>
  <si>
    <t>Phục vụ kiểm toán thu hồi đất, bồi thường, hỗ trợ, tái định cư và chi phí GPMB; có giá trị cao đối với dự án có chi phí GPMB lớn nhưng phạm vi áp dụng hẹp hơn các nhóm dữ liệu chung nêu trên.</t>
  </si>
  <si>
    <t>Hữu ích trong việc đối chiếu vị trí, diện tích, quy mô và hiện trạng thực tế với hồ sơ thiết kế, nghiệm thu, hỗ trợ kiểm tra khối lượng; tuy nhiên việc chuẩn hóa, liên thông và khai thác tự động thường phức tạp hơn dữ liệu dạng số, bảng biểu.</t>
  </si>
  <si>
    <t>2 , 3</t>
  </si>
  <si>
    <t>Kê khai thuế, Nợ thuế, Hoàn thuế, Miễn giảm thuế, Kiểm tra thuế</t>
  </si>
  <si>
    <t>Cơ quan thuế tỉnh</t>
  </si>
  <si>
    <t>1</t>
  </si>
  <si>
    <t>Tra soát hoá đơn để thực hiện kiểm toán các công tác kiểm tra thuế, kê khai thuế.</t>
  </si>
  <si>
    <t>Tra cứu báo cáo tài chính, tờ khai thuế, tờ khai và hồ sơ hoàn thuế</t>
  </si>
  <si>
    <t>Thực hiện kiểm toán kiểm tra thuế, quản lý doanh nghiệp</t>
  </si>
  <si>
    <t>Thực hiện kiểm tra hồ sơ chuyển giá, hồ sơ ấn định thuế</t>
  </si>
  <si>
    <t>Cơ quan thuế tỉnh (đây là phần mềm riêng của thuế thành phố Hồ Chí Minh, nhưng có thể cấp phát để sử dụng cho các khu vực)</t>
  </si>
  <si>
    <t>Tra cứu các báo cáo của cơ quan thuế (ứng dứng cơ sở dữ liệu)</t>
  </si>
  <si>
    <t>Chấp hành ngân sách nhà nước, Quyết toán ngân sách nhà nước</t>
  </si>
  <si>
    <t>Báo cáo B2-01/BC-NS/TABMIS, B2-02/BC-NS/TABMIS: Báo cáo thu và vay của NSNN niên độ…</t>
  </si>
  <si>
    <t>Tổng mức dự toán; dự toán chi tiết theo lĩnh vực thu, theo mục lục ngân sách</t>
  </si>
  <si>
    <t>Kho bạc nhà nước</t>
  </si>
  <si>
    <t>3, 4</t>
  </si>
  <si>
    <t>Đối chiếu thưc hiện thu NSNN của cơ quan tài chính với KBNN</t>
  </si>
  <si>
    <t>Báo cáo B2-03/BC-NS/TABMIS: Báo cáo tổng hợp thu NSNN theo sắc thuế niên độ…</t>
  </si>
  <si>
    <t>Báo cáo B2-04/BC-NS/TABMIS: Báo cáo thu NSNN ngành Hải quan niên độ…</t>
  </si>
  <si>
    <t>Báo cáo B2-05/BC-NS/TABMIS: Báo cáo hoàn trả thu NSNN niên độ …</t>
  </si>
  <si>
    <t>Báo cáo B3-01/BC-NS/TABMIS: Báo cáo chi và trả nợ vay NSNN, niên độ..</t>
  </si>
  <si>
    <t>Tổng mức dự toán; dự toán chi tiết theo lĩnh vực chi , theo mục lục ngân sách</t>
  </si>
  <si>
    <t>Đối chiếu thưc hiện chi NSNN, chi NSĐP của cơ quan tài chính với KBNN</t>
  </si>
  <si>
    <t>Báo cáo B3-02/BC-NS/TABMIS: Báo cáo chi và trả nợ vay NSĐP, niên độ ...</t>
  </si>
  <si>
    <t>Báo cáo B3-03/BC-NS/TABMIS: Báo cáo chi và trả nợ vay NSNN theo MLNSNN niên độ…</t>
  </si>
  <si>
    <t>Báo cáo B3-04/BC-NS/TABMIS: Báo cáo thực hiện chi và trả nợ NSTW, niên độ…</t>
  </si>
  <si>
    <t>Báo cáo B3-04a/BC-NS/TABMIS: Báo cáo thực hiện chi đầu tư XDCB NSTW, niên độ …</t>
  </si>
  <si>
    <t>Báo cáo B3-04b/BC-NS/TABMIS: Báo cáo thực hiện chi thường xuyên NSTW, niên độ …</t>
  </si>
  <si>
    <t>Báo cáo B3-05/BC-NS/TABMIS: Báo cáo thực hiện chi, trả nợ ngân sách (cấp tỉnh/ cấp huyện/ cấp xã) niên độ…</t>
  </si>
  <si>
    <t>Báo cáo B3-05a/BC-NS/TABMIS: Báo cáo thực hiện chi đầu tư XDCB ngân sách (cấp tỉnh/ cấp xã) niên độ…</t>
  </si>
  <si>
    <t>Báo cáo B3-05b/BC-NS/TABMIS: Báo cáo thực hiện chi thường xuyên ngân sách (cấp tỉnh/ cấp xã) niên độ…</t>
  </si>
  <si>
    <t>Báo cáo B4-01/BC-NS/TABMIS: Chi các chương trình, mục tiêu và dự án quốc gia, niên độ...</t>
  </si>
  <si>
    <t>Tổng mức dự toán; dự toán chi tiết theo lĩnh vực chi, theo mục lục ngân sách</t>
  </si>
  <si>
    <t>Đối chiếu thưc hiện chi NSNN, chi NSĐP của cơ quan tài chính với KBNN về chương trình mục tiêu quốc gia</t>
  </si>
  <si>
    <t>Báo cáo B4-02/BC-NS/TABMIS: Chi các chương trình, mục tiêu và dự án quốc gia theo mục lục NSNN niên độ…</t>
  </si>
  <si>
    <t>Dự toán NSNN, Chấp hành NSNN</t>
  </si>
  <si>
    <t>Báo cáo B5-01/BC-NS/TABMIS: Tình hình sử dụng dự toán chi Đầu tư phát triển NSTW (cấp tỉnh/cấp xã) theo hình thức rút dự toán niên độ…</t>
  </si>
  <si>
    <t>Tổng mức dự toán; dự toán chi tiết theo đơn vị dự toán, theo lĩnh vực chi, theo mục lục ngân sách; số điều chỉnh, bổ sung</t>
  </si>
  <si>
    <t>Đối chiếu chi đầu tư bằng hình thức dự toán cơ quan tài chính giao với số liệu nhập Tabmis; đối chiếu số dự toán được giao, số rút dự toán, số kinh phí chuyển sang năm sau của với số liệu KBNN</t>
  </si>
  <si>
    <t>Báo cáo B5-02/BC-NS/TABMIS: Tình hình sử dụng dự toán chi đầu tư phát triển NSTW (cấp tỉnh/cấp xã) theo hình thức lệnh chi tiền, niên độ…</t>
  </si>
  <si>
    <t>Đối chiếu chi đầu tư bằng lệnh chi tiền của cơ quan tài chính giao với số liệu nhập Tabmis; đối chiếu số dự toán được giao, số rút dự toán, số kinh phí chuyển sang năm sau của với số liệu KBNN</t>
  </si>
  <si>
    <t>Báo cáo B5-03/BC-NS/TABMIS: Tình hình sử dụng dự toán chi thường xuyên NSTW (cấp tỉnh/cấp xã) theo hình thức rút dự toán, niên độ…</t>
  </si>
  <si>
    <t>Đối chiếu dự toán cơ quan tài chính giao với số liệu nhập Tabmis; đối chiếu số dự toán được giao, số rút dự toán, số kinh phí chuyển sang năm sau của đơn vị dự toán với số liệu KBNN; xác định các khoản điều chỉnh, bổ sung dự toán trong năm</t>
  </si>
  <si>
    <t>Báo cáo B5-04/BC-NS/TABMIS: Tình hình sử dụng dự toán chi thường xuyên NSTW (cấp tỉnh/cấp xã) theo hình thức lệnh chi tiền, niên độ…</t>
  </si>
  <si>
    <t>Đối chiếu số kinh phí cấp bằng lệnh chi tiền của cơ quan tài chính giao với số liệu nhập Tabmis; số rút kinh phí; xác định các khoản điều chỉnh, bổ sung dự toán trong năm</t>
  </si>
  <si>
    <t>Báo cáo B5-05/BC-NS/TABMIS: Tình hình sử dụng dự toán chi bổ sung cho ngân sách cấp dưới của NSTW (cấp tỉnh) niên độ...</t>
  </si>
  <si>
    <t>Tổng mức dự toán; dự toán chi tiết theo đơn vị cấp dưới, theo mục lục ngân sách; số điều chỉnh, bổ sung</t>
  </si>
  <si>
    <t>Tình hình và và trả nợ gốc, lãi, phí</t>
  </si>
  <si>
    <t>Đối chiếu Tình hình và và trả nợ gốc, lãi, phí</t>
  </si>
  <si>
    <t>- Báo cáo B5-04/BC-NS/TABMIS: Vay, trả nợ Ngân sách nhà nước niên độ....
- Báo cáo B5-05/BC-NS/TABMIS: Vay, trả nợ Ngân sách địa phương niên độ....</t>
  </si>
  <si>
    <t>NS-04</t>
  </si>
  <si>
    <t>Là căn cứ đối chiếu số liệu kê khai thuế, nợ thuế, hoàn thuế, miễn giảm thuế, kiểm tra thuế . Hiện phải đề nghị cung cấp theo từng cuộc, thời gian chờ dài, số liệu không thống nhất giữa các lần cung cấp.</t>
  </si>
  <si>
    <t>Là căn cứ Tra soát hoá đơn để thực hiện kiểm toán các công tác kiểm tra thuế, kê khai thuế. Hiện phải đề nghị cung cấp theo từng cuộc, thời gian chờ dài, số liệu không thống nhất giữa các lần cung cấp.</t>
  </si>
  <si>
    <t>Là căn cứ tra cứu báo cáo tài chính, tờ khai thuế, tờ khai và hồ sơ hoàn thuế. Hiện phải đề nghị cung cấp theo từng cuộc, thời gian chờ dài, số liệu không thống nhất giữa các lần cung cấp.</t>
  </si>
  <si>
    <t>Là căn cứ thực hiện kiểm toán kiểm tra thuế, quản lý doanh nghiệp. Hiện phải đề nghị cung cấp theo từng cuộc, thời gian chờ dài, số liệu không thống nhất giữa các lần cung cấp.</t>
  </si>
  <si>
    <t>Là căn cứ thực hiện kiểm tra hồ sơ chuyển giá, hồ sơ ấn định thuế. Hiện phải đề nghị cung cấp theo từng cuộc, thời gian chờ dài, số liệu không thống nhất giữa các lần cung cấp.</t>
  </si>
  <si>
    <t>Là căn cứ tra soát hoá đơn để thực hiện kiểm toán các công tác kiểm tra thuế, kê khai thuế.. Hiện phải đề nghị cung cấp theo từng cuộc, thời gian chờ dài, số liệu không thống nhất giữa các lần cung cấp.</t>
  </si>
  <si>
    <t>Là căn cứ tra cứu các báo cáo của cơ quan thuế (ứng dứng cơ sở dữ liệu). Hiện phải đề nghị cung cấp theo từng cuộc, thời gian chờ dài, số liệu không thống nhất giữa các lần cung cấp.</t>
  </si>
  <si>
    <t>Dữ liệu trực tiếp phản ánh khối lượng và giá trị đã nghiệm thu, thanh toán từ nguồn vốn nhà nước; có thể phân tích, đối chiếu với hợp đồng, dự toán, thiết kế và quyết toán để phát hiện thanh toán sai khối lượng, đơn giá, thanh toán vượt hợp đồng, trùng lặp hoặc không đúng thực tế</t>
  </si>
  <si>
    <t>NS-02,
NS-06</t>
  </si>
  <si>
    <t>NS-02,
NS-03</t>
  </si>
  <si>
    <t>NS-02, 03, 06</t>
  </si>
  <si>
    <t>Là căn cứ đối chiếu số liệu thưc hiện chi chi NSĐP của cơ quan tài chính, của đơn vị dự toán với KBNN</t>
  </si>
  <si>
    <t>Đơn vị báo cáo: KTNN khu vực XII</t>
  </si>
  <si>
    <t>(Kèm theo Công văn số     /KV XII - TH ngày    tháng 9 năm 2026 của KTNN khu vực XII)</t>
  </si>
  <si>
    <t>NS-09</t>
  </si>
  <si>
    <t>3, 4, 5</t>
  </si>
  <si>
    <t>Khai thác phục vụ công tác chuẩn bị kiểm toán, thực hiện kiểm toán các cuộc kiểm toán ngân sách địa phương, báo cáo ngân sách địa phương, chuyên đề có liên quan và theo dõi, kiểm tra việc thực hiện kết luận, kiến nghị kiểm toán</t>
  </si>
  <si>
    <t>Khai thác phục vụ công tác lập Kế hoạch trung hạn và hàng năm (đối với kiểm toán dự án đầu tư); công tác chuẩn bị kiểm toán, thực hiện kiểm toán các cuộc kiểm toán ngân sách địa phương, báo cáo ngân sách địa phương, chuyên đề có liên quan</t>
  </si>
  <si>
    <t>Khai thác phục vụ công tác lập Kế hoạch trung hạn và hàng năm; công tác chuẩn bị kiểm toán, thực hiện kiểm toán các cuộc kiểm toán ngân sách địa phương, báo cáo ngân sách địa phương, chuyên đề có liên quan</t>
  </si>
  <si>
    <t>A1, A2, A4, B1</t>
  </si>
  <si>
    <t>Khai thác phục vụ công tác lập Kế hoạch trung hạn và hàng năm; công tác chuẩn bị kiểm toán, thực hiện kiểm toán các cuộc kiểm toán ngân sách địa phương, báo cáo ngân sách địa phương, chuyên đề có liên quan và theo dõi, kiểm tra việc thực hiện kết luận, kiến nghị kiểm toán</t>
  </si>
  <si>
    <t>DN-01</t>
  </si>
  <si>
    <t>Đăng ký doanh nghiệp</t>
  </si>
  <si>
    <t>Dữ liệu đăng ký doanh nghiệp, vốn điều lệ, người đại diện theo pháp luật</t>
  </si>
  <si>
    <t>Giấy chứng nhận đăng ký doanh nghiệp, thay đổi vốn, cơ cấu sở hữu</t>
  </si>
  <si>
    <t>DN-02</t>
  </si>
  <si>
    <t>A1, A2, A3</t>
  </si>
  <si>
    <t>Báo cáo tài chính doanh nghiệp</t>
  </si>
  <si>
    <t>Báo cáo tài chính riêng, báo cáo tài chính hợp nhất và báo cáo kiểm toán độc lập</t>
  </si>
  <si>
    <t>Bảng cân đối kế toán, kết quả kinh doanh, lưu chuyển tiền tệ, thuyết minh BCTC</t>
  </si>
  <si>
    <t>DN-03</t>
  </si>
  <si>
    <t>Vốn nhà nước tại doanh nghiệp</t>
  </si>
  <si>
    <t>Dữ liệu vốn nhà nước đầu tư tại doanh nghiệp; cổ tức, lợi nhuận nộp ngân sách</t>
  </si>
  <si>
    <t>Giá trị vốn nhà nước, tỷ lệ nắm giữ, quyết toán cổ tức/lợi nhuận được chia</t>
  </si>
  <si>
    <t>1, 2</t>
  </si>
  <si>
    <t>Số thuế phát sinh, số đã nộp, số còn nợ ngân sách nhà nước của các DNNN</t>
  </si>
  <si>
    <t>Quản lý, sử dụng đất đai</t>
  </si>
  <si>
    <t>Dữ liệu về giao đất, cho thuê đất, chuyển mục đích sử dụng đất, xác định giá đất</t>
  </si>
  <si>
    <t>Diện tích đất được giao/thuê, mục đích sử dụng, đơn giá thuê đất, tiền thuê đất phải nộp</t>
  </si>
  <si>
    <t>02, 03</t>
  </si>
  <si>
    <t>CH-02</t>
  </si>
  <si>
    <t xml:space="preserve">A1, A2 </t>
  </si>
  <si>
    <t>Kết quả thanh tra, kiểm tra</t>
  </si>
  <si>
    <t>Kết luận thanh tra, kiểm tra, kiến nghị kiểm toán trước đó của các cơ quan có liên quan và KTNN</t>
  </si>
  <si>
    <t>Các sai phạm đã chỉ ra, kiến nghị xử lý tài chính, kiến nghị cơ chế chính sách và tình hình thực hiện kết luận của đơn vị</t>
  </si>
  <si>
    <t>Thanh tra Chính phủ, Thanh tra Thành phố Đồng Nai/Lâm Đồng, Kiểm toán nhà nước</t>
  </si>
  <si>
    <t>Cơ quan đăng ký kinh doanh</t>
  </si>
  <si>
    <t>Doanh nghiệp được kiểm toán</t>
  </si>
  <si>
    <t>Cơ quan đại diện chủ sở hữu</t>
  </si>
  <si>
    <t>Sở Nông nghiệp và Môi trường</t>
  </si>
  <si>
    <t>Khai thác phục vụ công tác chuẩn bị kiểm toán, thực hiện kiểm toán để xác định tư cách pháp lý, quy mô vốn, cơ cấu cổ đông/thành viên góp vốn của DNNN</t>
  </si>
  <si>
    <t>Khai thác phục vụ công tác chuẩn bị kiểm toán, thực hiện kiểm toán để đánh giá tình hình tài chính, kết quả sản xuất kinh doanh, phát hiện rủi ro sai sót trọng yếu</t>
  </si>
  <si>
    <t>Khai thác phục vụ công tác chuẩn bị kiểm toán, thực hiện kiểm toán để điểm tra việc quản lý, bảo toàn và phát triển vốn nhà nước; nghĩa vụ nộp ngân sách</t>
  </si>
  <si>
    <t>Khai thác phục vụ công tác chuẩn bị kiểm toán, thực hiện kiểm toán để đối chiếu nghĩa vụ tài chính, thuế với ngân sách nhà nước của doanh nghiệp</t>
  </si>
  <si>
    <t>Khai thác phục vụ công tác chuẩn bị kiểm toán, thực hiện kiểm toán để đánh giá việc quản lý, sử dụng tài sản công (đất đai), chấp hành nghĩa vụ tiền thuê đất của DNNN</t>
  </si>
  <si>
    <t>Khai thác phục vụ công tác chuẩn bị kiểm toán, thực hiện kiểm toán để thu thập thông tin trọng yếu, đánh giá rủi ro, kiểm tra việc khắc phục các kiến nghị từ các kết luận thanh tra, kiểm toán trước đó</t>
  </si>
  <si>
    <t>DN-06</t>
  </si>
  <si>
    <t>Nghĩa vụ thuế của doanh nghiệp</t>
  </si>
  <si>
    <t>Dữ liệu kê khai, nộp, hoàn thuế của doanh nghiệp</t>
  </si>
  <si>
    <t>BS-01</t>
  </si>
  <si>
    <t>Sắp xếp đơn vị hành chính</t>
  </si>
  <si>
    <t>Biên bản bàn giao tài chính, ngân sách, tài sản, công nợ khi hợp nhất tỉnh, kết thúc cấp huyện</t>
  </si>
  <si>
    <t>Số dư tài khoản, tạm ứng, nợ phải thu, phải trả; tài sản bàn giao, tiếp nhận</t>
  </si>
  <si>
    <t>Sở Tài chính; UBND cấp xã; Kho bạc Nhà nước</t>
  </si>
  <si>
    <t>BS-02</t>
  </si>
  <si>
    <t>Ngân sách đảng</t>
  </si>
  <si>
    <t>Dự toán, quyết toán kinh phí của các cơ quan đảng tỉnh</t>
  </si>
  <si>
    <t>Dự toán, quyết toán theo nội dung chi</t>
  </si>
  <si>
    <t>Văn phòng Tỉnh ủy</t>
  </si>
  <si>
    <t>Định kỳ</t>
  </si>
  <si>
    <t>BS-03</t>
  </si>
  <si>
    <t>Quỹ tài chính nhà nước ngoài ngân sách</t>
  </si>
  <si>
    <t>BCTC, báo cáo hoạt động của quỹ phát triển đất, quỹ đầu tư phát triển và các quỹ khác của tỉnh</t>
  </si>
  <si>
    <t>Nguồn vốn, số ứng, cho vay, thu hồi; dư nợ quá hạn</t>
  </si>
  <si>
    <t>Các quỹ; Sở Tài chính</t>
  </si>
  <si>
    <t>BS-04</t>
  </si>
  <si>
    <t>A2</t>
  </si>
  <si>
    <t>An sinh xã hội</t>
  </si>
  <si>
    <t>Danh sách, số tiền chi trả trợ cấp người có công, bảo trợ xã hội</t>
  </si>
  <si>
    <t>Đối tượng, mức hưởng, kỳ chi trả</t>
  </si>
  <si>
    <t>Cơ quan quản lý chính sách; UBND cấp xã</t>
  </si>
  <si>
    <t>BS-05</t>
  </si>
  <si>
    <t>Đơn vị sự nghiệp công lập</t>
  </si>
  <si>
    <t>Quyết định giao tự chủ; báo cáo thu sự nghiệp, phí, lệ phí</t>
  </si>
  <si>
    <t>Mức tự chủ, nguồn thu, trích lập quỹ</t>
  </si>
  <si>
    <t>Đơn vị sự nghiệp; cơ quan chủ quản</t>
  </si>
  <si>
    <t>Khai thác phục vụ công tác chuẩn bị kiểm toán, thực hiện kiểm toán để đối chiếu số bàn giao với số tiếp nhận; phát hiện tạm ứng, công nợ, tài sản chưa xử lý</t>
  </si>
  <si>
    <t>Khai thác phục vụ công tác chuẩn bị kiểm toán, thực hiện kiểm toán để lập kế hoạch, kiểm toán kinh phí tổ chức đảng</t>
  </si>
  <si>
    <t>Khai thác phục vụ công tác chuẩn bị kiểm toán, thực hiện kiểm toán để đánh giá quản lý vốn quỹ; phát hiện khoản ứng vốn chậm thu hồi</t>
  </si>
  <si>
    <t>Khai thác phục vụ công tác thực hiện kiểm toán để đối chiếu với CĐ-05 (Dân cư); phát hiện chi sai đối tượng, chi trùng</t>
  </si>
  <si>
    <t>Khai thác phục vụ công tác thực hiện kiểm toán kiểm tra phân loại tự chủ, cấp kinh phí, trích lập và sử dụng quỹ</t>
  </si>
  <si>
    <t>CĐ-03</t>
  </si>
  <si>
    <t>CĐ-01</t>
  </si>
  <si>
    <t>Bảo hiểm xã hội, bảo hiểm y tế</t>
  </si>
  <si>
    <t>Danh sách, số tiền NSNN đóng, hỗ trợ đóng BHYT theo nhóm đối tượng</t>
  </si>
  <si>
    <t>Số đối tượng, số tiền, kỳ đóng</t>
  </si>
  <si>
    <t>Bảo hiểm xã hội</t>
  </si>
  <si>
    <t>CĐ-02</t>
  </si>
  <si>
    <t>02, 06</t>
  </si>
  <si>
    <t>Chương trình mục tiêu quốc gia</t>
  </si>
  <si>
    <t>Phân bổ, giải ngân vốn CTMTQG; danh sách đối tượng thụ hưởng</t>
  </si>
  <si>
    <t>Vốn phân bổ, giải ngân; đối tượng, mức hỗ trợ</t>
  </si>
  <si>
    <t>Cơ quan chủ chương trình cấp tỉnh</t>
  </si>
  <si>
    <t>CĐ-05</t>
  </si>
  <si>
    <t>Dân cư</t>
  </si>
  <si>
    <t>Thông tin xác thực đối tượng thụ hưởng chính sách</t>
  </si>
  <si>
    <t>Tình trạng cư trú, còn sống hay đã chết</t>
  </si>
  <si>
    <t>Bộ Công an</t>
  </si>
  <si>
    <t>CH-01</t>
  </si>
  <si>
    <t>Văn bản quy phạm pháp luật</t>
  </si>
  <si>
    <t>Cơ sở dữ liệu quốc gia về VBQPPL, gồm văn bản của HĐND, UBND tỉnh</t>
  </si>
  <si>
    <t>Văn bản, hiệu lực, thẩm quyền ban hành</t>
  </si>
  <si>
    <t>Bộ Tư pháp</t>
  </si>
  <si>
    <t>Xác định căn cứ đánh giá tuân thủ; kiểm tra thẩm quyền ban hành chính sách chi ngân sách địa phương</t>
  </si>
  <si>
    <t>CH-03</t>
  </si>
  <si>
    <t>A1, B1</t>
  </si>
  <si>
    <t>Thống kê kinh tế - xã hội</t>
  </si>
  <si>
    <t>Niên giám thống kê tỉnh</t>
  </si>
  <si>
    <t>GRDP, dân số, cơ cấu kinh tế</t>
  </si>
  <si>
    <t>Cơ quan thống kê</t>
  </si>
  <si>
    <t>Khai thác phục vụ công tác chuẩn bị kiểm toán, lập kế hoạch trung hạn và KH năm để phân tích tổng quan; đánh giá tính khả thi của dự toán thu</t>
  </si>
  <si>
    <t>Khai thác phục vụ công tác thực hiện kiểm toán để phát hiện đối tượng đã chết, trùng, không cư trú vẫn được chi trả</t>
  </si>
  <si>
    <t>Khai thác phục vụ công tác thực hiện kiểm toán để đối chiếu kinh phí NSĐP đóng BHYT với danh sách; phát hiện trùng thẻ, đóng sai đối tượng</t>
  </si>
  <si>
    <t>Khai thác phục vụ công tác thực hiện kiểm toán để kiểm tra phân bổ, giải ngân đúng mục tiêu; đối tượng thụ hưởng</t>
  </si>
  <si>
    <t>NS-10</t>
  </si>
  <si>
    <t>Tài sản công</t>
  </si>
  <si>
    <t>Dữ liệu đăng ký tài sản công là nhà, đất, xe ô tô và tài sản có giá trị lớn</t>
  </si>
  <si>
    <t>Danh mục, nguyên giá, giá trị còn lại, hiện trạng sử dụng; tài sản dôi dư sau sắp xếp</t>
  </si>
  <si>
    <t>Sở Tài chính</t>
  </si>
  <si>
    <t>NS-11</t>
  </si>
  <si>
    <t>Nợ công</t>
  </si>
  <si>
    <t>Dữ liệu vay, trả nợ của chính quyền địa phương</t>
  </si>
  <si>
    <t>Dư nợ, hạn mức vay, số vay, trả gốc, lãi trong năm</t>
  </si>
  <si>
    <t>NS-12</t>
  </si>
  <si>
    <t>Biên chế, quỹ tiền lương</t>
  </si>
  <si>
    <t>Quyết định giao biên chế, số người làm việc; quỹ lương của đơn vị sử dụng ngân sách</t>
  </si>
  <si>
    <t>Biên chế giao, có mặt; quỹ lương, phụ cấp; số giải quyết chế độ nghỉ việc</t>
  </si>
  <si>
    <t>Sở Nội vụ; đơn vị được kiểm toán</t>
  </si>
  <si>
    <t>Khai thác phục vụ lập kế hoạch KT và thực hiện kiểm toán để đối chiếu tài sản sổ sách với thực tế; phát hiện tài sản dôi dư chưa xử lý, sử dụng sai mục đích</t>
  </si>
  <si>
    <t>Khai thác phục vụ lập kế hoạch KT và thực hiện kiểm toán để kiểm tra tuân thủ hạn mức dư nợ, bội chi; đánh giá nghĩa vụ trả nợ</t>
  </si>
  <si>
    <t>Khai thác phục vụ thực hiện kiểm toán để đối chiếu quỹ lương chi trả với biên chế giao; kiểm tra chi giải quyết chế độ nghỉ việc</t>
  </si>
  <si>
    <t>2, 3</t>
  </si>
  <si>
    <t xml:space="preserve">2, 3, 4 </t>
  </si>
  <si>
    <t>Giao đất, cho thuê đất, giá đất</t>
  </si>
  <si>
    <t>Thu tiền sử dụng đất chiếm tỷ trọng lớn trong thu NSĐP. Dữ liệu ở bản giấy, phân tán; không đối chiếu được số phải thu với số đã thu nên dễ bỏ sót chậm xác định giá đất, thất thu.</t>
  </si>
  <si>
    <t>NS-06</t>
  </si>
  <si>
    <t>BCQT NSĐP tỉnh</t>
  </si>
  <si>
    <t>Là căn cứ lập kế hoạch kiểm toán năm. Nhận bản giấy, bản scan; phải nhập lại thủ công các biểu quyết toán mỗi năm.</t>
  </si>
  <si>
    <t>Sau sắp xếp đơn vị hành chính phát sinh nhiều tài sản dôi dư. Không có dữ liệu thì không xác định được tài sản chưa xử lý, sử dụng sai mục đích.</t>
  </si>
  <si>
    <t>Hồ sơ bàn giao khi sắp xếp đơn vị hành chính</t>
  </si>
  <si>
    <t>Chỉ tồn tại ở bản giấy tại nhiều đơn vị; nếu không số hóa sớm, nguy cơ thất lạc, không truy nguyên được số dư tạm ứng, công nợ của cấp huyện cũ.</t>
  </si>
  <si>
    <t>Kinh phí giải quyết chế độ nghỉ việc lớn trong giai đoạn tinh gọn bộ máy; thiếu dữ liệu thì không đối chiếu được đối tượng, số tiền chi trả.</t>
  </si>
  <si>
    <t>CTMTQG</t>
  </si>
  <si>
    <t>Số lượng đối tượng lớn, phân tán tại cấp xã; kiểm tra thủ công chỉ chọn được mẫu nhỏ, không phát hiện được chi trùng, sai đối tượng.</t>
  </si>
  <si>
    <t>Hóa đơn điện tử</t>
  </si>
  <si>
    <t>Hiện tra cứu từng hóa đơn thủ công; không kiểm tra được toàn bộ hóa đơn trong hồ sơ thanh toán.</t>
  </si>
  <si>
    <t>A1, A4, B1</t>
  </si>
  <si>
    <t>Quyết toán NSNN</t>
  </si>
  <si>
    <t>Báo cáo quyết toán NSĐP tỉnh đã được HĐND phê chuẩn</t>
  </si>
  <si>
    <t>Tổng thu, chi, bội chi theo cấp ngân sách; kết dư; chuyển nguồn</t>
  </si>
  <si>
    <t>Khai thác lập KHKT thực hiện KT và lập KH trung hạn, KH KT năm để xác định quy mô, đầu mối, rủi ro khi lập kế hoạch kiểm toán; đối chiếu kết dư, chuyển nguồn giữa các năm; kiểm tra việc điều chỉnh quyết toán theo kiến nghị kiểm toán</t>
  </si>
  <si>
    <t>Báo cáo tài chính doanh nghiệp và Báo cáo kiểm toán độc lập</t>
  </si>
  <si>
    <t>Khối lượng doanh nghiệp nhà nước trên địa bàn hai tỉnh lớn, dữ liệu tài chính hiện chủ yếu thu thập qua hồ sơ giấy hoặc tệp rời rạc, mất nhiều thời gian tổng hợp, đối chiếu thủ công khi lập kế hoạch kiểm toán.</t>
  </si>
  <si>
    <t>Kết luận thanh tra, kiểm tra và kết luận kiến nghị Kiểm toán nhà nước các năm trước</t>
  </si>
  <si>
    <t>Các kết luận thanh tra, kiểm toán trước đây lưu trữ phân tán, khi khảo sát lập kế hoạch kiểm toán DNNN tại Đồng Nai và Lâm Đồng, kiểm toán viên mất nhiều thời gian tra cứu thủ công, dẫn đến khó đánh giá tính liên tục của sai phạm hoặc việc khắc phục kiến nghị của đơn vị. Cần số hóa và tích hợp vào kho dữ liệu dùng chung để tra cứu nhanh.</t>
  </si>
  <si>
    <t>Báo cáo về kê khai thuế, Báo cáo về nợ thuế, Báo cáo về hoàn thuế, Báo cáo về miễn giảm thuế, Báo cáo về kiểm tra thuế (khai thác tại TMS)</t>
  </si>
  <si>
    <t>Báo cáo về hoá đơn, tình hình sử dụng hoá đơn. Khai thác hoá đơn điện tử (hddtcbt.gdt.gov.vn)</t>
  </si>
  <si>
    <t>Thông tin báo cáo tài chính, tờ khai thuế, tờ khai và hồ sơ hoàn thuế (dichvucongcbt.gdt.gov.vn)</t>
  </si>
  <si>
    <t>Thông tin về tính hình kiểm tra thuế, báo cáo rủi ro về thuế (Ứng dụng TPR và hệ thống quản lý rủi ro)</t>
  </si>
  <si>
    <t>Thông tin để phân tích dữ liệu giao dịch liên kết, lọc dữ liệu từ Orbis và tính toán các chỉ ⭢tiêu tài chính (như tỷ suất lợi nhuận, khoảng tứ phân vị) nhằm so sánh với người nộp thuế) (Ứng dụng TP Catalyst)</t>
  </si>
  <si>
    <t>Thông tin cơ sở dữ liệu tài chính và thương mại toàn cầu chứa thông tin của hàng triệu doanh nghiệp trên thế giới và tại Việt Nam (Cơ quan thuế dùng dữ liệu này để tìm kiếm các công ty so sánh độc lập (Orbis))</t>
  </si>
  <si>
    <t>Thông tin hoá đơn có rủi ro về thuế. (thongtincanhbao.hcm.tct.vn)</t>
  </si>
  <si>
    <t>Thông tin các báo cáo của cơ quan thuế (csdlnnt.gdt.gov.vn)</t>
  </si>
  <si>
    <t>Dữ liệu dự toán, chấp hành và quyết toán chi NSĐP</t>
  </si>
  <si>
    <t>Người lập biểu: Nguyễn Đức Đình Huấn - Điện thoại: 0798157333 - Thư điện tử: huanndd@sav.gov.vn</t>
  </si>
  <si>
    <t>(Kèm theo Công văn số        /KV XII - TH ngày    tháng 9 năm 2026 của KTNN khu vực XII)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</si>
</sst>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Times New Roman"/>
      <family val="1"/>
    </font>
    <font>
      <sz val="12"/>
      <color theme="1"/>
      <name val="Times New Roman"/>
      <family val="1"/>
    </font>
    <font>
      <i/>
      <sz val="12"/>
      <color theme="1"/>
      <name val="Times New Roman"/>
      <family val="1"/>
    </font>
    <font>
      <b/>
      <sz val="12"/>
      <color rgb="FF000000"/>
      <name val="Times New Roman"/>
      <family val="1"/>
    </font>
    <font>
      <sz val="12"/>
      <color theme="1"/>
      <name val="Calibri"/>
      <family val="2"/>
      <scheme val="minor"/>
    </font>
    <font>
      <sz val="12"/>
      <name val="Times New Roman"/>
      <family val="1"/>
    </font>
    <font>
      <b/>
      <sz val="12"/>
      <name val="Times New Roman"/>
      <family val="1"/>
    </font>
    <font>
      <i/>
      <sz val="12"/>
      <name val="Times New Roman"/>
      <family val="1"/>
    </font>
    <font>
      <sz val="14"/>
      <name val="Times New Roman"/>
      <family val="1"/>
    </font>
    <font>
      <b/>
      <sz val="14"/>
      <name val="Times New Roman"/>
      <family val="1"/>
    </font>
    <font>
      <i/>
      <sz val="14"/>
      <name val="Times New Roman"/>
      <family val="1"/>
    </font>
  </fonts>
  <fills count="3">
    <fill>
      <patternFill patternType="none"/>
    </fill>
    <fill>
      <patternFill patternType="gray125"/>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s>
  <cellStyleXfs count="1">
    <xf numFmtId="0" fontId="0" fillId="0" borderId="0"/>
  </cellStyleXfs>
  <cellXfs count="40">
    <xf numFmtId="0" fontId="0" fillId="0" borderId="0" xfId="0"/>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xf numFmtId="0" fontId="1" fillId="0" borderId="0" xfId="0" applyFont="1" applyAlignment="1">
      <alignment horizontal="center" vertical="center"/>
    </xf>
    <xf numFmtId="0" fontId="2" fillId="0" borderId="1" xfId="0" applyFont="1" applyBorder="1" applyAlignment="1">
      <alignment horizontal="center" vertical="center"/>
    </xf>
    <xf numFmtId="0" fontId="5" fillId="0" borderId="0" xfId="0" applyFont="1" applyAlignment="1">
      <alignment horizontal="center"/>
    </xf>
    <xf numFmtId="0" fontId="6" fillId="0" borderId="1" xfId="0" applyFont="1" applyBorder="1" applyAlignment="1">
      <alignment horizontal="center" vertical="center" wrapText="1"/>
    </xf>
    <xf numFmtId="0" fontId="6" fillId="0" borderId="0" xfId="0" applyFont="1" applyAlignment="1">
      <alignment horizontal="center"/>
    </xf>
    <xf numFmtId="0" fontId="6" fillId="0" borderId="0" xfId="0" applyFont="1"/>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vertical="center"/>
    </xf>
    <xf numFmtId="0" fontId="6" fillId="0" borderId="2" xfId="0" applyFont="1" applyBorder="1" applyAlignment="1">
      <alignment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6" fillId="0" borderId="4" xfId="0" applyFont="1" applyBorder="1" applyAlignment="1">
      <alignment horizontal="center" vertical="center"/>
    </xf>
    <xf numFmtId="0" fontId="6" fillId="0" borderId="4" xfId="0" quotePrefix="1" applyFont="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3" xfId="0" quotePrefix="1" applyFont="1" applyBorder="1" applyAlignment="1">
      <alignment vertical="center" wrapText="1"/>
    </xf>
    <xf numFmtId="0" fontId="4" fillId="2" borderId="3" xfId="0" applyFont="1" applyFill="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center"/>
    </xf>
    <xf numFmtId="0" fontId="9" fillId="0" borderId="0" xfId="0" applyFont="1"/>
    <xf numFmtId="0" fontId="10"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
  <sheetViews>
    <sheetView view="pageBreakPreview" zoomScale="80" zoomScaleNormal="70" zoomScaleSheetLayoutView="80" workbookViewId="0">
      <pane xSplit="5" ySplit="7" topLeftCell="F8" activePane="bottomRight" state="frozen"/>
      <selection pane="topRight" activeCell="F1" sqref="F1"/>
      <selection pane="bottomLeft" activeCell="A8" sqref="A8"/>
      <selection pane="bottomRight" activeCell="F9" sqref="F9"/>
    </sheetView>
  </sheetViews>
  <sheetFormatPr defaultColWidth="9.109375" defaultRowHeight="15.6" x14ac:dyDescent="0.3"/>
  <cols>
    <col min="1" max="1" width="6.88671875" style="10" customWidth="1"/>
    <col min="2" max="3" width="9.109375" style="10"/>
    <col min="4" max="4" width="14" style="10" customWidth="1"/>
    <col min="5" max="5" width="22.6640625" style="11" customWidth="1"/>
    <col min="6" max="6" width="34.88671875" style="11" customWidth="1"/>
    <col min="7" max="7" width="29.33203125" style="11" customWidth="1"/>
    <col min="8" max="8" width="19.33203125" style="11" customWidth="1"/>
    <col min="9" max="9" width="8.109375" style="10" customWidth="1"/>
    <col min="10" max="10" width="11.33203125" style="10" customWidth="1"/>
    <col min="11" max="11" width="34.6640625" style="11" customWidth="1"/>
    <col min="12" max="12" width="9.109375" style="10"/>
    <col min="13" max="16384" width="9.109375" style="11"/>
  </cols>
  <sheetData>
    <row r="1" spans="1:12" s="36" customFormat="1" ht="18" x14ac:dyDescent="0.35">
      <c r="A1" s="37" t="s">
        <v>0</v>
      </c>
      <c r="B1" s="37"/>
      <c r="C1" s="37"/>
      <c r="D1" s="37"/>
      <c r="E1" s="37"/>
      <c r="F1" s="37"/>
      <c r="G1" s="37"/>
      <c r="H1" s="37"/>
      <c r="I1" s="37"/>
      <c r="J1" s="37"/>
      <c r="K1" s="37"/>
      <c r="L1" s="37"/>
    </row>
    <row r="2" spans="1:12" s="36" customFormat="1" ht="21.6" customHeight="1" x14ac:dyDescent="0.35">
      <c r="A2" s="37" t="s">
        <v>1</v>
      </c>
      <c r="B2" s="37"/>
      <c r="C2" s="37"/>
      <c r="D2" s="37"/>
      <c r="E2" s="37"/>
      <c r="F2" s="37"/>
      <c r="G2" s="37"/>
      <c r="H2" s="37"/>
      <c r="I2" s="37"/>
      <c r="J2" s="37"/>
      <c r="K2" s="37"/>
      <c r="L2" s="37"/>
    </row>
    <row r="3" spans="1:12" s="36" customFormat="1" ht="22.8" customHeight="1" x14ac:dyDescent="0.35">
      <c r="A3" s="38" t="s">
        <v>314</v>
      </c>
      <c r="B3" s="38"/>
      <c r="C3" s="38"/>
      <c r="D3" s="38"/>
      <c r="E3" s="38"/>
      <c r="F3" s="38"/>
      <c r="G3" s="38"/>
      <c r="H3" s="38"/>
      <c r="I3" s="38"/>
      <c r="J3" s="38"/>
      <c r="K3" s="38"/>
      <c r="L3" s="38"/>
    </row>
    <row r="4" spans="1:12" s="36" customFormat="1" ht="18" x14ac:dyDescent="0.35">
      <c r="A4" s="37" t="s">
        <v>151</v>
      </c>
      <c r="B4" s="37"/>
      <c r="C4" s="37"/>
      <c r="D4" s="37"/>
      <c r="E4" s="37"/>
      <c r="F4" s="37"/>
      <c r="G4" s="37"/>
      <c r="H4" s="37"/>
      <c r="I4" s="37"/>
      <c r="J4" s="37"/>
      <c r="K4" s="37"/>
      <c r="L4" s="37"/>
    </row>
    <row r="5" spans="1:12" s="39" customFormat="1" ht="18" x14ac:dyDescent="0.35">
      <c r="A5" s="34" t="s">
        <v>313</v>
      </c>
      <c r="B5" s="34"/>
      <c r="C5" s="34"/>
      <c r="D5" s="34"/>
      <c r="E5" s="34"/>
      <c r="F5" s="34"/>
      <c r="G5" s="34"/>
      <c r="H5" s="34"/>
      <c r="I5" s="34"/>
      <c r="J5" s="34"/>
      <c r="K5" s="34"/>
      <c r="L5" s="34"/>
    </row>
    <row r="6" spans="1:12" s="36" customFormat="1" ht="18" x14ac:dyDescent="0.35">
      <c r="A6" s="34"/>
      <c r="B6" s="35"/>
      <c r="C6" s="35"/>
      <c r="D6" s="35"/>
      <c r="I6" s="35"/>
      <c r="J6" s="35"/>
      <c r="L6" s="35"/>
    </row>
    <row r="7" spans="1:12" ht="62.4" x14ac:dyDescent="0.3">
      <c r="A7" s="12" t="s">
        <v>2</v>
      </c>
      <c r="B7" s="12" t="s">
        <v>3</v>
      </c>
      <c r="C7" s="12" t="s">
        <v>4</v>
      </c>
      <c r="D7" s="12" t="s">
        <v>5</v>
      </c>
      <c r="E7" s="12" t="s">
        <v>6</v>
      </c>
      <c r="F7" s="12" t="s">
        <v>7</v>
      </c>
      <c r="G7" s="12" t="s">
        <v>8</v>
      </c>
      <c r="H7" s="12" t="s">
        <v>9</v>
      </c>
      <c r="I7" s="12" t="s">
        <v>10</v>
      </c>
      <c r="J7" s="12" t="s">
        <v>11</v>
      </c>
      <c r="K7" s="12" t="s">
        <v>12</v>
      </c>
      <c r="L7" s="12" t="s">
        <v>13</v>
      </c>
    </row>
    <row r="8" spans="1:12" x14ac:dyDescent="0.3">
      <c r="A8" s="13">
        <v>1</v>
      </c>
      <c r="B8" s="13">
        <v>2</v>
      </c>
      <c r="C8" s="13">
        <v>3</v>
      </c>
      <c r="D8" s="13">
        <v>4</v>
      </c>
      <c r="E8" s="13">
        <v>5</v>
      </c>
      <c r="F8" s="13">
        <v>6</v>
      </c>
      <c r="G8" s="13">
        <v>7</v>
      </c>
      <c r="H8" s="13">
        <v>8</v>
      </c>
      <c r="I8" s="13">
        <v>9</v>
      </c>
      <c r="J8" s="13">
        <v>10</v>
      </c>
      <c r="K8" s="13">
        <v>11</v>
      </c>
      <c r="L8" s="13">
        <v>12</v>
      </c>
    </row>
    <row r="9" spans="1:12" ht="85.5" customHeight="1" x14ac:dyDescent="0.3">
      <c r="A9" s="14">
        <v>1</v>
      </c>
      <c r="B9" s="9" t="s">
        <v>138</v>
      </c>
      <c r="C9" s="15" t="s">
        <v>89</v>
      </c>
      <c r="D9" s="9" t="s">
        <v>14</v>
      </c>
      <c r="E9" s="16" t="s">
        <v>99</v>
      </c>
      <c r="F9" s="2" t="s">
        <v>304</v>
      </c>
      <c r="G9" s="2" t="s">
        <v>90</v>
      </c>
      <c r="H9" s="17" t="s">
        <v>91</v>
      </c>
      <c r="I9" s="15" t="s">
        <v>92</v>
      </c>
      <c r="J9" s="15" t="s">
        <v>103</v>
      </c>
      <c r="K9" s="16" t="s">
        <v>16</v>
      </c>
      <c r="L9" s="9" t="s">
        <v>15</v>
      </c>
    </row>
    <row r="10" spans="1:12" ht="87" customHeight="1" x14ac:dyDescent="0.3">
      <c r="A10" s="14">
        <v>2</v>
      </c>
      <c r="B10" s="9" t="s">
        <v>153</v>
      </c>
      <c r="C10" s="15" t="s">
        <v>89</v>
      </c>
      <c r="D10" s="9" t="s">
        <v>14</v>
      </c>
      <c r="E10" s="16" t="s">
        <v>99</v>
      </c>
      <c r="F10" s="2" t="s">
        <v>305</v>
      </c>
      <c r="G10" s="2" t="s">
        <v>93</v>
      </c>
      <c r="H10" s="17" t="s">
        <v>91</v>
      </c>
      <c r="I10" s="15" t="s">
        <v>92</v>
      </c>
      <c r="J10" s="15" t="s">
        <v>103</v>
      </c>
      <c r="K10" s="16" t="s">
        <v>16</v>
      </c>
      <c r="L10" s="9" t="s">
        <v>15</v>
      </c>
    </row>
    <row r="11" spans="1:12" ht="87" customHeight="1" x14ac:dyDescent="0.3">
      <c r="A11" s="14">
        <v>3</v>
      </c>
      <c r="B11" s="9" t="s">
        <v>138</v>
      </c>
      <c r="C11" s="15" t="s">
        <v>89</v>
      </c>
      <c r="D11" s="9" t="s">
        <v>14</v>
      </c>
      <c r="E11" s="16" t="s">
        <v>99</v>
      </c>
      <c r="F11" s="2" t="s">
        <v>306</v>
      </c>
      <c r="G11" s="2" t="s">
        <v>94</v>
      </c>
      <c r="H11" s="17" t="s">
        <v>91</v>
      </c>
      <c r="I11" s="15" t="s">
        <v>92</v>
      </c>
      <c r="J11" s="15" t="s">
        <v>103</v>
      </c>
      <c r="K11" s="16" t="s">
        <v>16</v>
      </c>
      <c r="L11" s="9" t="s">
        <v>15</v>
      </c>
    </row>
    <row r="12" spans="1:12" ht="84" customHeight="1" x14ac:dyDescent="0.3">
      <c r="A12" s="14">
        <v>4</v>
      </c>
      <c r="B12" s="9" t="s">
        <v>138</v>
      </c>
      <c r="C12" s="15" t="s">
        <v>89</v>
      </c>
      <c r="D12" s="9" t="s">
        <v>14</v>
      </c>
      <c r="E12" s="16" t="s">
        <v>99</v>
      </c>
      <c r="F12" s="2" t="s">
        <v>307</v>
      </c>
      <c r="G12" s="2" t="s">
        <v>95</v>
      </c>
      <c r="H12" s="17" t="s">
        <v>91</v>
      </c>
      <c r="I12" s="15" t="s">
        <v>92</v>
      </c>
      <c r="J12" s="15" t="s">
        <v>103</v>
      </c>
      <c r="K12" s="16" t="s">
        <v>16</v>
      </c>
      <c r="L12" s="9" t="s">
        <v>15</v>
      </c>
    </row>
    <row r="13" spans="1:12" ht="93.6" x14ac:dyDescent="0.3">
      <c r="A13" s="14">
        <v>5</v>
      </c>
      <c r="B13" s="9" t="s">
        <v>138</v>
      </c>
      <c r="C13" s="15" t="s">
        <v>89</v>
      </c>
      <c r="D13" s="9" t="s">
        <v>14</v>
      </c>
      <c r="E13" s="16" t="s">
        <v>99</v>
      </c>
      <c r="F13" s="2" t="s">
        <v>308</v>
      </c>
      <c r="G13" s="2" t="s">
        <v>96</v>
      </c>
      <c r="H13" s="17" t="s">
        <v>91</v>
      </c>
      <c r="I13" s="15" t="s">
        <v>92</v>
      </c>
      <c r="J13" s="15" t="s">
        <v>103</v>
      </c>
      <c r="K13" s="16" t="s">
        <v>16</v>
      </c>
      <c r="L13" s="9" t="s">
        <v>15</v>
      </c>
    </row>
    <row r="14" spans="1:12" ht="93.6" x14ac:dyDescent="0.3">
      <c r="A14" s="14">
        <v>6</v>
      </c>
      <c r="B14" s="9" t="s">
        <v>138</v>
      </c>
      <c r="C14" s="15" t="s">
        <v>89</v>
      </c>
      <c r="D14" s="9" t="s">
        <v>14</v>
      </c>
      <c r="E14" s="16" t="s">
        <v>99</v>
      </c>
      <c r="F14" s="2" t="s">
        <v>309</v>
      </c>
      <c r="G14" s="2" t="s">
        <v>96</v>
      </c>
      <c r="H14" s="17" t="s">
        <v>91</v>
      </c>
      <c r="I14" s="15" t="s">
        <v>92</v>
      </c>
      <c r="J14" s="15" t="s">
        <v>103</v>
      </c>
      <c r="K14" s="16" t="s">
        <v>16</v>
      </c>
      <c r="L14" s="9" t="s">
        <v>15</v>
      </c>
    </row>
    <row r="15" spans="1:12" ht="109.2" x14ac:dyDescent="0.3">
      <c r="A15" s="14">
        <v>7</v>
      </c>
      <c r="B15" s="9" t="s">
        <v>153</v>
      </c>
      <c r="C15" s="15" t="s">
        <v>89</v>
      </c>
      <c r="D15" s="9" t="s">
        <v>14</v>
      </c>
      <c r="E15" s="16" t="s">
        <v>99</v>
      </c>
      <c r="F15" s="2" t="s">
        <v>310</v>
      </c>
      <c r="G15" s="2" t="s">
        <v>93</v>
      </c>
      <c r="H15" s="16" t="s">
        <v>97</v>
      </c>
      <c r="I15" s="15" t="s">
        <v>92</v>
      </c>
      <c r="J15" s="15" t="s">
        <v>154</v>
      </c>
      <c r="K15" s="16" t="s">
        <v>16</v>
      </c>
      <c r="L15" s="9" t="s">
        <v>15</v>
      </c>
    </row>
    <row r="16" spans="1:12" ht="88.5" customHeight="1" x14ac:dyDescent="0.3">
      <c r="A16" s="14">
        <v>8</v>
      </c>
      <c r="B16" s="9" t="s">
        <v>138</v>
      </c>
      <c r="C16" s="15" t="s">
        <v>89</v>
      </c>
      <c r="D16" s="9" t="s">
        <v>14</v>
      </c>
      <c r="E16" s="16" t="s">
        <v>99</v>
      </c>
      <c r="F16" s="2" t="s">
        <v>311</v>
      </c>
      <c r="G16" s="2" t="s">
        <v>98</v>
      </c>
      <c r="H16" s="17" t="s">
        <v>91</v>
      </c>
      <c r="I16" s="15" t="s">
        <v>92</v>
      </c>
      <c r="J16" s="15" t="s">
        <v>103</v>
      </c>
      <c r="K16" s="16" t="s">
        <v>16</v>
      </c>
      <c r="L16" s="9" t="s">
        <v>15</v>
      </c>
    </row>
    <row r="17" spans="1:12" ht="51.75" customHeight="1" x14ac:dyDescent="0.3">
      <c r="A17" s="33">
        <v>9</v>
      </c>
      <c r="B17" s="33" t="s">
        <v>147</v>
      </c>
      <c r="C17" s="33">
        <v>2.2999999999999998</v>
      </c>
      <c r="D17" s="33" t="s">
        <v>14</v>
      </c>
      <c r="E17" s="32" t="s">
        <v>99</v>
      </c>
      <c r="F17" s="16" t="s">
        <v>100</v>
      </c>
      <c r="G17" s="32" t="s">
        <v>101</v>
      </c>
      <c r="H17" s="32" t="s">
        <v>102</v>
      </c>
      <c r="I17" s="33">
        <v>2</v>
      </c>
      <c r="J17" s="33" t="s">
        <v>103</v>
      </c>
      <c r="K17" s="32" t="s">
        <v>104</v>
      </c>
      <c r="L17" s="33" t="s">
        <v>15</v>
      </c>
    </row>
    <row r="18" spans="1:12" ht="51.75" customHeight="1" x14ac:dyDescent="0.3">
      <c r="A18" s="33"/>
      <c r="B18" s="33"/>
      <c r="C18" s="33"/>
      <c r="D18" s="33"/>
      <c r="E18" s="32"/>
      <c r="F18" s="16" t="s">
        <v>105</v>
      </c>
      <c r="G18" s="32"/>
      <c r="H18" s="32"/>
      <c r="I18" s="33"/>
      <c r="J18" s="33"/>
      <c r="K18" s="32"/>
      <c r="L18" s="33"/>
    </row>
    <row r="19" spans="1:12" ht="51.75" customHeight="1" x14ac:dyDescent="0.3">
      <c r="A19" s="33"/>
      <c r="B19" s="33"/>
      <c r="C19" s="33"/>
      <c r="D19" s="33"/>
      <c r="E19" s="32"/>
      <c r="F19" s="16" t="s">
        <v>106</v>
      </c>
      <c r="G19" s="32"/>
      <c r="H19" s="32"/>
      <c r="I19" s="33"/>
      <c r="J19" s="33"/>
      <c r="K19" s="32"/>
      <c r="L19" s="33"/>
    </row>
    <row r="20" spans="1:12" ht="55.5" customHeight="1" x14ac:dyDescent="0.3">
      <c r="A20" s="33"/>
      <c r="B20" s="33"/>
      <c r="C20" s="33"/>
      <c r="D20" s="33"/>
      <c r="E20" s="32"/>
      <c r="F20" s="16" t="s">
        <v>107</v>
      </c>
      <c r="G20" s="32"/>
      <c r="H20" s="32"/>
      <c r="I20" s="33"/>
      <c r="J20" s="33"/>
      <c r="K20" s="32"/>
      <c r="L20" s="33"/>
    </row>
    <row r="21" spans="1:12" ht="51.75" customHeight="1" x14ac:dyDescent="0.3">
      <c r="A21" s="33">
        <v>10</v>
      </c>
      <c r="B21" s="33" t="s">
        <v>147</v>
      </c>
      <c r="C21" s="33">
        <v>2.2999999999999998</v>
      </c>
      <c r="D21" s="33" t="s">
        <v>14</v>
      </c>
      <c r="E21" s="32" t="s">
        <v>99</v>
      </c>
      <c r="F21" s="16" t="s">
        <v>108</v>
      </c>
      <c r="G21" s="32" t="s">
        <v>109</v>
      </c>
      <c r="H21" s="32" t="s">
        <v>102</v>
      </c>
      <c r="I21" s="33">
        <v>2</v>
      </c>
      <c r="J21" s="33" t="s">
        <v>103</v>
      </c>
      <c r="K21" s="32" t="s">
        <v>110</v>
      </c>
      <c r="L21" s="33" t="s">
        <v>15</v>
      </c>
    </row>
    <row r="22" spans="1:12" ht="54" customHeight="1" x14ac:dyDescent="0.3">
      <c r="A22" s="33"/>
      <c r="B22" s="33"/>
      <c r="C22" s="33"/>
      <c r="D22" s="33"/>
      <c r="E22" s="32"/>
      <c r="F22" s="16" t="s">
        <v>111</v>
      </c>
      <c r="G22" s="32"/>
      <c r="H22" s="32"/>
      <c r="I22" s="33"/>
      <c r="J22" s="33"/>
      <c r="K22" s="32"/>
      <c r="L22" s="33"/>
    </row>
    <row r="23" spans="1:12" ht="52.5" customHeight="1" x14ac:dyDescent="0.3">
      <c r="A23" s="33"/>
      <c r="B23" s="33"/>
      <c r="C23" s="33"/>
      <c r="D23" s="33"/>
      <c r="E23" s="32"/>
      <c r="F23" s="16" t="s">
        <v>112</v>
      </c>
      <c r="G23" s="32"/>
      <c r="H23" s="32"/>
      <c r="I23" s="33"/>
      <c r="J23" s="33"/>
      <c r="K23" s="32"/>
      <c r="L23" s="33"/>
    </row>
    <row r="24" spans="1:12" ht="54.75" customHeight="1" x14ac:dyDescent="0.3">
      <c r="A24" s="33"/>
      <c r="B24" s="33"/>
      <c r="C24" s="33"/>
      <c r="D24" s="33"/>
      <c r="E24" s="32"/>
      <c r="F24" s="16" t="s">
        <v>113</v>
      </c>
      <c r="G24" s="32"/>
      <c r="H24" s="32"/>
      <c r="I24" s="33"/>
      <c r="J24" s="33"/>
      <c r="K24" s="32"/>
      <c r="L24" s="33"/>
    </row>
    <row r="25" spans="1:12" ht="54.75" customHeight="1" x14ac:dyDescent="0.3">
      <c r="A25" s="33"/>
      <c r="B25" s="33"/>
      <c r="C25" s="33"/>
      <c r="D25" s="33"/>
      <c r="E25" s="32"/>
      <c r="F25" s="16" t="s">
        <v>114</v>
      </c>
      <c r="G25" s="32"/>
      <c r="H25" s="32"/>
      <c r="I25" s="33"/>
      <c r="J25" s="33"/>
      <c r="K25" s="32"/>
      <c r="L25" s="33"/>
    </row>
    <row r="26" spans="1:12" ht="54.75" customHeight="1" x14ac:dyDescent="0.3">
      <c r="A26" s="33"/>
      <c r="B26" s="33"/>
      <c r="C26" s="33"/>
      <c r="D26" s="33"/>
      <c r="E26" s="32"/>
      <c r="F26" s="16" t="s">
        <v>115</v>
      </c>
      <c r="G26" s="32"/>
      <c r="H26" s="32"/>
      <c r="I26" s="33"/>
      <c r="J26" s="33"/>
      <c r="K26" s="32"/>
      <c r="L26" s="33"/>
    </row>
    <row r="27" spans="1:12" ht="72" customHeight="1" x14ac:dyDescent="0.3">
      <c r="A27" s="33"/>
      <c r="B27" s="33"/>
      <c r="C27" s="33"/>
      <c r="D27" s="33"/>
      <c r="E27" s="32"/>
      <c r="F27" s="16" t="s">
        <v>116</v>
      </c>
      <c r="G27" s="32"/>
      <c r="H27" s="32"/>
      <c r="I27" s="33"/>
      <c r="J27" s="33"/>
      <c r="K27" s="32"/>
      <c r="L27" s="33"/>
    </row>
    <row r="28" spans="1:12" ht="68.25" customHeight="1" x14ac:dyDescent="0.3">
      <c r="A28" s="33"/>
      <c r="B28" s="33"/>
      <c r="C28" s="33"/>
      <c r="D28" s="33"/>
      <c r="E28" s="32"/>
      <c r="F28" s="16" t="s">
        <v>117</v>
      </c>
      <c r="G28" s="32"/>
      <c r="H28" s="32"/>
      <c r="I28" s="33"/>
      <c r="J28" s="33"/>
      <c r="K28" s="32"/>
      <c r="L28" s="33"/>
    </row>
    <row r="29" spans="1:12" ht="66" customHeight="1" x14ac:dyDescent="0.3">
      <c r="A29" s="33"/>
      <c r="B29" s="33"/>
      <c r="C29" s="33"/>
      <c r="D29" s="33"/>
      <c r="E29" s="32"/>
      <c r="F29" s="16" t="s">
        <v>118</v>
      </c>
      <c r="G29" s="32"/>
      <c r="H29" s="32"/>
      <c r="I29" s="33"/>
      <c r="J29" s="33"/>
      <c r="K29" s="32"/>
      <c r="L29" s="33"/>
    </row>
    <row r="30" spans="1:12" ht="51.75" customHeight="1" x14ac:dyDescent="0.3">
      <c r="A30" s="33">
        <v>11</v>
      </c>
      <c r="B30" s="33" t="s">
        <v>147</v>
      </c>
      <c r="C30" s="33">
        <v>2.2999999999999998</v>
      </c>
      <c r="D30" s="33" t="s">
        <v>14</v>
      </c>
      <c r="E30" s="32" t="s">
        <v>99</v>
      </c>
      <c r="F30" s="16" t="s">
        <v>119</v>
      </c>
      <c r="G30" s="32" t="s">
        <v>120</v>
      </c>
      <c r="H30" s="32" t="s">
        <v>102</v>
      </c>
      <c r="I30" s="33">
        <v>2</v>
      </c>
      <c r="J30" s="33" t="s">
        <v>103</v>
      </c>
      <c r="K30" s="32" t="s">
        <v>121</v>
      </c>
      <c r="L30" s="33" t="s">
        <v>15</v>
      </c>
    </row>
    <row r="31" spans="1:12" ht="72.75" customHeight="1" x14ac:dyDescent="0.3">
      <c r="A31" s="33"/>
      <c r="B31" s="33"/>
      <c r="C31" s="33"/>
      <c r="D31" s="33"/>
      <c r="E31" s="32"/>
      <c r="F31" s="16" t="s">
        <v>122</v>
      </c>
      <c r="G31" s="32"/>
      <c r="H31" s="32"/>
      <c r="I31" s="33"/>
      <c r="J31" s="33"/>
      <c r="K31" s="32"/>
      <c r="L31" s="33"/>
    </row>
    <row r="32" spans="1:12" ht="104.25" customHeight="1" x14ac:dyDescent="0.3">
      <c r="A32" s="33">
        <v>12</v>
      </c>
      <c r="B32" s="33" t="s">
        <v>148</v>
      </c>
      <c r="C32" s="9">
        <v>2.2999999999999998</v>
      </c>
      <c r="D32" s="9" t="s">
        <v>14</v>
      </c>
      <c r="E32" s="16" t="s">
        <v>123</v>
      </c>
      <c r="F32" s="16" t="s">
        <v>124</v>
      </c>
      <c r="G32" s="16" t="s">
        <v>125</v>
      </c>
      <c r="H32" s="16" t="s">
        <v>102</v>
      </c>
      <c r="I32" s="9">
        <v>2</v>
      </c>
      <c r="J32" s="9" t="s">
        <v>103</v>
      </c>
      <c r="K32" s="16" t="s">
        <v>126</v>
      </c>
      <c r="L32" s="9" t="s">
        <v>15</v>
      </c>
    </row>
    <row r="33" spans="1:12" ht="87.75" customHeight="1" x14ac:dyDescent="0.3">
      <c r="A33" s="33"/>
      <c r="B33" s="33"/>
      <c r="C33" s="33">
        <v>2.2999999999999998</v>
      </c>
      <c r="D33" s="33" t="s">
        <v>14</v>
      </c>
      <c r="E33" s="32" t="s">
        <v>123</v>
      </c>
      <c r="F33" s="32" t="s">
        <v>127</v>
      </c>
      <c r="G33" s="32" t="s">
        <v>125</v>
      </c>
      <c r="H33" s="32" t="s">
        <v>102</v>
      </c>
      <c r="I33" s="33">
        <v>2</v>
      </c>
      <c r="J33" s="33" t="s">
        <v>103</v>
      </c>
      <c r="K33" s="32" t="s">
        <v>128</v>
      </c>
      <c r="L33" s="33" t="s">
        <v>15</v>
      </c>
    </row>
    <row r="34" spans="1:12" x14ac:dyDescent="0.3">
      <c r="A34" s="33"/>
      <c r="B34" s="33"/>
      <c r="C34" s="33"/>
      <c r="D34" s="33"/>
      <c r="E34" s="32"/>
      <c r="F34" s="32"/>
      <c r="G34" s="32"/>
      <c r="H34" s="32"/>
      <c r="I34" s="33"/>
      <c r="J34" s="33"/>
      <c r="K34" s="32"/>
      <c r="L34" s="33"/>
    </row>
    <row r="35" spans="1:12" ht="119.25" customHeight="1" x14ac:dyDescent="0.3">
      <c r="A35" s="33"/>
      <c r="B35" s="33"/>
      <c r="C35" s="33">
        <v>2.2999999999999998</v>
      </c>
      <c r="D35" s="33" t="s">
        <v>14</v>
      </c>
      <c r="E35" s="32" t="s">
        <v>123</v>
      </c>
      <c r="F35" s="32" t="s">
        <v>129</v>
      </c>
      <c r="G35" s="32" t="s">
        <v>125</v>
      </c>
      <c r="H35" s="32" t="s">
        <v>102</v>
      </c>
      <c r="I35" s="33">
        <v>2</v>
      </c>
      <c r="J35" s="33" t="s">
        <v>103</v>
      </c>
      <c r="K35" s="32" t="s">
        <v>130</v>
      </c>
      <c r="L35" s="33" t="s">
        <v>15</v>
      </c>
    </row>
    <row r="36" spans="1:12" x14ac:dyDescent="0.3">
      <c r="A36" s="33"/>
      <c r="B36" s="33"/>
      <c r="C36" s="33"/>
      <c r="D36" s="33"/>
      <c r="E36" s="32"/>
      <c r="F36" s="32"/>
      <c r="G36" s="32"/>
      <c r="H36" s="32"/>
      <c r="I36" s="33"/>
      <c r="J36" s="33"/>
      <c r="K36" s="32"/>
      <c r="L36" s="33"/>
    </row>
    <row r="37" spans="1:12" ht="70.5" customHeight="1" x14ac:dyDescent="0.3">
      <c r="A37" s="33"/>
      <c r="B37" s="33"/>
      <c r="C37" s="33">
        <v>2.2999999999999998</v>
      </c>
      <c r="D37" s="33" t="s">
        <v>14</v>
      </c>
      <c r="E37" s="32" t="s">
        <v>123</v>
      </c>
      <c r="F37" s="32" t="s">
        <v>131</v>
      </c>
      <c r="G37" s="32" t="s">
        <v>125</v>
      </c>
      <c r="H37" s="32" t="s">
        <v>102</v>
      </c>
      <c r="I37" s="33">
        <v>2</v>
      </c>
      <c r="J37" s="33" t="s">
        <v>103</v>
      </c>
      <c r="K37" s="32" t="s">
        <v>132</v>
      </c>
      <c r="L37" s="33" t="s">
        <v>15</v>
      </c>
    </row>
    <row r="38" spans="1:12" ht="27.75" customHeight="1" x14ac:dyDescent="0.3">
      <c r="A38" s="33"/>
      <c r="B38" s="33"/>
      <c r="C38" s="33"/>
      <c r="D38" s="33"/>
      <c r="E38" s="32"/>
      <c r="F38" s="32"/>
      <c r="G38" s="32"/>
      <c r="H38" s="32"/>
      <c r="I38" s="33"/>
      <c r="J38" s="33"/>
      <c r="K38" s="32"/>
      <c r="L38" s="33"/>
    </row>
    <row r="39" spans="1:12" ht="48.75" customHeight="1" x14ac:dyDescent="0.3">
      <c r="A39" s="33"/>
      <c r="B39" s="33"/>
      <c r="C39" s="33">
        <v>2.2999999999999998</v>
      </c>
      <c r="D39" s="33" t="s">
        <v>14</v>
      </c>
      <c r="E39" s="32" t="s">
        <v>123</v>
      </c>
      <c r="F39" s="32" t="s">
        <v>133</v>
      </c>
      <c r="G39" s="32" t="s">
        <v>134</v>
      </c>
      <c r="H39" s="32" t="s">
        <v>102</v>
      </c>
      <c r="I39" s="33">
        <v>2</v>
      </c>
      <c r="J39" s="33" t="s">
        <v>103</v>
      </c>
      <c r="K39" s="32" t="s">
        <v>132</v>
      </c>
      <c r="L39" s="33" t="s">
        <v>15</v>
      </c>
    </row>
    <row r="40" spans="1:12" ht="59.25" customHeight="1" x14ac:dyDescent="0.3">
      <c r="A40" s="33"/>
      <c r="B40" s="33"/>
      <c r="C40" s="33"/>
      <c r="D40" s="33"/>
      <c r="E40" s="32"/>
      <c r="F40" s="32"/>
      <c r="G40" s="32"/>
      <c r="H40" s="32"/>
      <c r="I40" s="33"/>
      <c r="J40" s="33"/>
      <c r="K40" s="32"/>
      <c r="L40" s="33"/>
    </row>
    <row r="41" spans="1:12" ht="114" customHeight="1" x14ac:dyDescent="0.3">
      <c r="A41" s="19">
        <v>13</v>
      </c>
      <c r="B41" s="19" t="s">
        <v>147</v>
      </c>
      <c r="C41" s="19">
        <v>2.2999999999999998</v>
      </c>
      <c r="D41" s="19" t="s">
        <v>14</v>
      </c>
      <c r="E41" s="20" t="s">
        <v>123</v>
      </c>
      <c r="F41" s="28" t="s">
        <v>137</v>
      </c>
      <c r="G41" s="20" t="s">
        <v>135</v>
      </c>
      <c r="H41" s="20" t="s">
        <v>102</v>
      </c>
      <c r="I41" s="19">
        <v>2</v>
      </c>
      <c r="J41" s="19" t="s">
        <v>103</v>
      </c>
      <c r="K41" s="20" t="s">
        <v>136</v>
      </c>
      <c r="L41" s="19" t="s">
        <v>15</v>
      </c>
    </row>
    <row r="42" spans="1:12" ht="144" customHeight="1" x14ac:dyDescent="0.3">
      <c r="A42" s="3">
        <v>15</v>
      </c>
      <c r="B42" s="3" t="s">
        <v>284</v>
      </c>
      <c r="C42" s="3">
        <v>3</v>
      </c>
      <c r="D42" s="3" t="s">
        <v>295</v>
      </c>
      <c r="E42" s="2" t="s">
        <v>296</v>
      </c>
      <c r="F42" s="2" t="s">
        <v>297</v>
      </c>
      <c r="G42" s="2" t="s">
        <v>298</v>
      </c>
      <c r="H42" s="2" t="s">
        <v>267</v>
      </c>
      <c r="I42" s="3">
        <v>3</v>
      </c>
      <c r="J42" s="3" t="s">
        <v>178</v>
      </c>
      <c r="K42" s="2" t="s">
        <v>299</v>
      </c>
      <c r="L42" s="3" t="s">
        <v>208</v>
      </c>
    </row>
    <row r="43" spans="1:12" ht="89.25" customHeight="1" x14ac:dyDescent="0.3">
      <c r="A43" s="21">
        <v>16</v>
      </c>
      <c r="B43" s="21" t="s">
        <v>263</v>
      </c>
      <c r="C43" s="21">
        <v>2</v>
      </c>
      <c r="D43" s="21" t="s">
        <v>14</v>
      </c>
      <c r="E43" s="22" t="s">
        <v>264</v>
      </c>
      <c r="F43" s="22" t="s">
        <v>265</v>
      </c>
      <c r="G43" s="22" t="s">
        <v>266</v>
      </c>
      <c r="H43" s="22" t="s">
        <v>267</v>
      </c>
      <c r="I43" s="21">
        <v>2</v>
      </c>
      <c r="J43" s="21">
        <v>4</v>
      </c>
      <c r="K43" s="22" t="s">
        <v>277</v>
      </c>
      <c r="L43" s="21" t="s">
        <v>15</v>
      </c>
    </row>
    <row r="44" spans="1:12" ht="69.75" customHeight="1" x14ac:dyDescent="0.3">
      <c r="A44" s="3">
        <f>A43+1</f>
        <v>17</v>
      </c>
      <c r="B44" s="3" t="s">
        <v>268</v>
      </c>
      <c r="C44" s="3">
        <v>2</v>
      </c>
      <c r="D44" s="3" t="s">
        <v>14</v>
      </c>
      <c r="E44" s="2" t="s">
        <v>269</v>
      </c>
      <c r="F44" s="2" t="s">
        <v>270</v>
      </c>
      <c r="G44" s="2" t="s">
        <v>271</v>
      </c>
      <c r="H44" s="2" t="s">
        <v>267</v>
      </c>
      <c r="I44" s="3" t="s">
        <v>280</v>
      </c>
      <c r="J44" s="3" t="s">
        <v>103</v>
      </c>
      <c r="K44" s="2" t="s">
        <v>278</v>
      </c>
      <c r="L44" s="3" t="s">
        <v>208</v>
      </c>
    </row>
    <row r="45" spans="1:12" ht="71.25" customHeight="1" x14ac:dyDescent="0.3">
      <c r="A45" s="3">
        <f t="shared" ref="A45:A71" si="0">A44+1</f>
        <v>18</v>
      </c>
      <c r="B45" s="3" t="s">
        <v>272</v>
      </c>
      <c r="C45" s="3">
        <v>2</v>
      </c>
      <c r="D45" s="3" t="s">
        <v>215</v>
      </c>
      <c r="E45" s="2" t="s">
        <v>273</v>
      </c>
      <c r="F45" s="2" t="s">
        <v>274</v>
      </c>
      <c r="G45" s="2" t="s">
        <v>275</v>
      </c>
      <c r="H45" s="2" t="s">
        <v>276</v>
      </c>
      <c r="I45" s="3">
        <v>3</v>
      </c>
      <c r="J45" s="3" t="s">
        <v>62</v>
      </c>
      <c r="K45" s="2" t="s">
        <v>279</v>
      </c>
      <c r="L45" s="3" t="s">
        <v>15</v>
      </c>
    </row>
    <row r="46" spans="1:12" ht="181.5" customHeight="1" x14ac:dyDescent="0.3">
      <c r="A46" s="3">
        <f t="shared" si="0"/>
        <v>19</v>
      </c>
      <c r="B46" s="23" t="s">
        <v>23</v>
      </c>
      <c r="C46" s="24">
        <v>4</v>
      </c>
      <c r="D46" s="25" t="s">
        <v>60</v>
      </c>
      <c r="E46" s="26" t="s">
        <v>22</v>
      </c>
      <c r="F46" s="26" t="s">
        <v>24</v>
      </c>
      <c r="G46" s="26" t="s">
        <v>70</v>
      </c>
      <c r="H46" s="26" t="s">
        <v>27</v>
      </c>
      <c r="I46" s="24" t="s">
        <v>62</v>
      </c>
      <c r="J46" s="24" t="s">
        <v>63</v>
      </c>
      <c r="K46" s="27" t="s">
        <v>156</v>
      </c>
      <c r="L46" s="25" t="s">
        <v>15</v>
      </c>
    </row>
    <row r="47" spans="1:12" ht="168" customHeight="1" x14ac:dyDescent="0.3">
      <c r="A47" s="3">
        <f t="shared" si="0"/>
        <v>20</v>
      </c>
      <c r="B47" s="14" t="s">
        <v>29</v>
      </c>
      <c r="C47" s="15">
        <v>4</v>
      </c>
      <c r="D47" s="9" t="s">
        <v>60</v>
      </c>
      <c r="E47" s="16" t="s">
        <v>25</v>
      </c>
      <c r="F47" s="16" t="s">
        <v>26</v>
      </c>
      <c r="G47" s="16" t="s">
        <v>71</v>
      </c>
      <c r="H47" s="16" t="s">
        <v>28</v>
      </c>
      <c r="I47" s="15" t="s">
        <v>62</v>
      </c>
      <c r="J47" s="15" t="s">
        <v>63</v>
      </c>
      <c r="K47" s="18" t="s">
        <v>157</v>
      </c>
      <c r="L47" s="9" t="s">
        <v>15</v>
      </c>
    </row>
    <row r="48" spans="1:12" ht="214.5" customHeight="1" x14ac:dyDescent="0.3">
      <c r="A48" s="3">
        <f t="shared" si="0"/>
        <v>21</v>
      </c>
      <c r="B48" s="14" t="s">
        <v>30</v>
      </c>
      <c r="C48" s="15">
        <v>4</v>
      </c>
      <c r="D48" s="9" t="s">
        <v>14</v>
      </c>
      <c r="E48" s="16" t="s">
        <v>33</v>
      </c>
      <c r="F48" s="16" t="s">
        <v>34</v>
      </c>
      <c r="G48" s="16" t="s">
        <v>72</v>
      </c>
      <c r="H48" s="16" t="s">
        <v>35</v>
      </c>
      <c r="I48" s="15" t="s">
        <v>62</v>
      </c>
      <c r="J48" s="15" t="s">
        <v>63</v>
      </c>
      <c r="K48" s="16" t="s">
        <v>16</v>
      </c>
      <c r="L48" s="9" t="s">
        <v>15</v>
      </c>
    </row>
    <row r="49" spans="1:12" ht="232.5" customHeight="1" x14ac:dyDescent="0.3">
      <c r="A49" s="3">
        <f t="shared" si="0"/>
        <v>22</v>
      </c>
      <c r="B49" s="14" t="s">
        <v>31</v>
      </c>
      <c r="C49" s="15">
        <v>4</v>
      </c>
      <c r="D49" s="9" t="s">
        <v>14</v>
      </c>
      <c r="E49" s="16" t="s">
        <v>36</v>
      </c>
      <c r="F49" s="16" t="s">
        <v>66</v>
      </c>
      <c r="G49" s="16" t="s">
        <v>73</v>
      </c>
      <c r="H49" s="16" t="s">
        <v>37</v>
      </c>
      <c r="I49" s="15" t="s">
        <v>62</v>
      </c>
      <c r="J49" s="15" t="s">
        <v>65</v>
      </c>
      <c r="K49" s="16" t="s">
        <v>16</v>
      </c>
      <c r="L49" s="9" t="s">
        <v>15</v>
      </c>
    </row>
    <row r="50" spans="1:12" ht="225.75" customHeight="1" x14ac:dyDescent="0.3">
      <c r="A50" s="3">
        <f t="shared" si="0"/>
        <v>23</v>
      </c>
      <c r="B50" s="14" t="s">
        <v>32</v>
      </c>
      <c r="C50" s="15">
        <v>4</v>
      </c>
      <c r="D50" s="9" t="s">
        <v>59</v>
      </c>
      <c r="E50" s="16" t="s">
        <v>38</v>
      </c>
      <c r="F50" s="16" t="s">
        <v>39</v>
      </c>
      <c r="G50" s="16" t="s">
        <v>74</v>
      </c>
      <c r="H50" s="17" t="s">
        <v>40</v>
      </c>
      <c r="I50" s="15" t="s">
        <v>62</v>
      </c>
      <c r="J50" s="15" t="s">
        <v>63</v>
      </c>
      <c r="K50" s="16" t="s">
        <v>155</v>
      </c>
      <c r="L50" s="9" t="s">
        <v>15</v>
      </c>
    </row>
    <row r="51" spans="1:12" ht="216.75" customHeight="1" x14ac:dyDescent="0.3">
      <c r="A51" s="3">
        <f t="shared" si="0"/>
        <v>24</v>
      </c>
      <c r="B51" s="14" t="s">
        <v>41</v>
      </c>
      <c r="C51" s="15">
        <v>4</v>
      </c>
      <c r="D51" s="9" t="s">
        <v>59</v>
      </c>
      <c r="E51" s="16" t="s">
        <v>42</v>
      </c>
      <c r="F51" s="16" t="s">
        <v>43</v>
      </c>
      <c r="G51" s="16" t="s">
        <v>75</v>
      </c>
      <c r="H51" s="16" t="s">
        <v>44</v>
      </c>
      <c r="I51" s="15" t="s">
        <v>62</v>
      </c>
      <c r="J51" s="15" t="s">
        <v>63</v>
      </c>
      <c r="K51" s="16" t="s">
        <v>155</v>
      </c>
      <c r="L51" s="9" t="s">
        <v>15</v>
      </c>
    </row>
    <row r="52" spans="1:12" ht="240" customHeight="1" x14ac:dyDescent="0.3">
      <c r="A52" s="3">
        <f t="shared" si="0"/>
        <v>25</v>
      </c>
      <c r="B52" s="14" t="s">
        <v>45</v>
      </c>
      <c r="C52" s="15">
        <v>4</v>
      </c>
      <c r="D52" s="9" t="s">
        <v>158</v>
      </c>
      <c r="E52" s="16" t="s">
        <v>47</v>
      </c>
      <c r="F52" s="16" t="s">
        <v>69</v>
      </c>
      <c r="G52" s="16" t="s">
        <v>76</v>
      </c>
      <c r="H52" s="16" t="s">
        <v>48</v>
      </c>
      <c r="I52" s="15" t="s">
        <v>62</v>
      </c>
      <c r="J52" s="15" t="s">
        <v>63</v>
      </c>
      <c r="K52" s="16" t="s">
        <v>159</v>
      </c>
      <c r="L52" s="9" t="s">
        <v>15</v>
      </c>
    </row>
    <row r="53" spans="1:12" ht="191.25" customHeight="1" x14ac:dyDescent="0.3">
      <c r="A53" s="3">
        <f t="shared" si="0"/>
        <v>26</v>
      </c>
      <c r="B53" s="14" t="s">
        <v>46</v>
      </c>
      <c r="C53" s="15">
        <v>4</v>
      </c>
      <c r="D53" s="9" t="s">
        <v>14</v>
      </c>
      <c r="E53" s="16" t="s">
        <v>49</v>
      </c>
      <c r="F53" s="16" t="s">
        <v>50</v>
      </c>
      <c r="G53" s="16" t="s">
        <v>77</v>
      </c>
      <c r="H53" s="16" t="s">
        <v>51</v>
      </c>
      <c r="I53" s="15" t="s">
        <v>63</v>
      </c>
      <c r="J53" s="15" t="s">
        <v>67</v>
      </c>
      <c r="K53" s="16" t="s">
        <v>16</v>
      </c>
      <c r="L53" s="9" t="s">
        <v>15</v>
      </c>
    </row>
    <row r="54" spans="1:12" ht="219" customHeight="1" x14ac:dyDescent="0.3">
      <c r="A54" s="3">
        <f t="shared" si="0"/>
        <v>27</v>
      </c>
      <c r="B54" s="14" t="s">
        <v>52</v>
      </c>
      <c r="C54" s="15">
        <v>4</v>
      </c>
      <c r="D54" s="9" t="s">
        <v>14</v>
      </c>
      <c r="E54" s="16" t="s">
        <v>53</v>
      </c>
      <c r="F54" s="16" t="s">
        <v>54</v>
      </c>
      <c r="G54" s="16" t="s">
        <v>78</v>
      </c>
      <c r="H54" s="16" t="s">
        <v>55</v>
      </c>
      <c r="I54" s="15" t="s">
        <v>62</v>
      </c>
      <c r="J54" s="15" t="s">
        <v>63</v>
      </c>
      <c r="K54" s="16" t="s">
        <v>16</v>
      </c>
      <c r="L54" s="9" t="s">
        <v>15</v>
      </c>
    </row>
    <row r="55" spans="1:12" ht="201.75" customHeight="1" x14ac:dyDescent="0.3">
      <c r="A55" s="3">
        <f t="shared" si="0"/>
        <v>28</v>
      </c>
      <c r="B55" s="14" t="s">
        <v>56</v>
      </c>
      <c r="C55" s="15">
        <v>4</v>
      </c>
      <c r="D55" s="9" t="s">
        <v>14</v>
      </c>
      <c r="E55" s="16" t="s">
        <v>57</v>
      </c>
      <c r="F55" s="16" t="s">
        <v>68</v>
      </c>
      <c r="G55" s="16" t="s">
        <v>79</v>
      </c>
      <c r="H55" s="16" t="s">
        <v>58</v>
      </c>
      <c r="I55" s="15" t="s">
        <v>64</v>
      </c>
      <c r="J55" s="15" t="s">
        <v>63</v>
      </c>
      <c r="K55" s="16" t="s">
        <v>16</v>
      </c>
      <c r="L55" s="9" t="s">
        <v>61</v>
      </c>
    </row>
    <row r="56" spans="1:12" ht="102" customHeight="1" x14ac:dyDescent="0.3">
      <c r="A56" s="3">
        <f t="shared" si="0"/>
        <v>29</v>
      </c>
      <c r="B56" s="9" t="s">
        <v>160</v>
      </c>
      <c r="C56" s="9">
        <v>5</v>
      </c>
      <c r="D56" s="9" t="s">
        <v>14</v>
      </c>
      <c r="E56" s="16" t="s">
        <v>161</v>
      </c>
      <c r="F56" s="16" t="s">
        <v>162</v>
      </c>
      <c r="G56" s="16" t="s">
        <v>163</v>
      </c>
      <c r="H56" s="16" t="s">
        <v>185</v>
      </c>
      <c r="I56" s="9">
        <v>1</v>
      </c>
      <c r="J56" s="9">
        <v>4</v>
      </c>
      <c r="K56" s="16" t="s">
        <v>189</v>
      </c>
      <c r="L56" s="9" t="s">
        <v>15</v>
      </c>
    </row>
    <row r="57" spans="1:12" ht="93.75" customHeight="1" x14ac:dyDescent="0.3">
      <c r="A57" s="3">
        <f t="shared" si="0"/>
        <v>30</v>
      </c>
      <c r="B57" s="9" t="s">
        <v>164</v>
      </c>
      <c r="C57" s="9">
        <v>5</v>
      </c>
      <c r="D57" s="9" t="s">
        <v>165</v>
      </c>
      <c r="E57" s="16" t="s">
        <v>166</v>
      </c>
      <c r="F57" s="16" t="s">
        <v>167</v>
      </c>
      <c r="G57" s="16" t="s">
        <v>168</v>
      </c>
      <c r="H57" s="16" t="s">
        <v>186</v>
      </c>
      <c r="I57" s="9">
        <v>1</v>
      </c>
      <c r="J57" s="9" t="s">
        <v>103</v>
      </c>
      <c r="K57" s="16" t="s">
        <v>190</v>
      </c>
      <c r="L57" s="9" t="s">
        <v>15</v>
      </c>
    </row>
    <row r="58" spans="1:12" ht="90" customHeight="1" x14ac:dyDescent="0.3">
      <c r="A58" s="3">
        <f t="shared" si="0"/>
        <v>31</v>
      </c>
      <c r="B58" s="19" t="s">
        <v>169</v>
      </c>
      <c r="C58" s="19">
        <v>5</v>
      </c>
      <c r="D58" s="19" t="s">
        <v>14</v>
      </c>
      <c r="E58" s="20" t="s">
        <v>170</v>
      </c>
      <c r="F58" s="20" t="s">
        <v>171</v>
      </c>
      <c r="G58" s="20" t="s">
        <v>172</v>
      </c>
      <c r="H58" s="20" t="s">
        <v>187</v>
      </c>
      <c r="I58" s="19">
        <v>1</v>
      </c>
      <c r="J58" s="19">
        <v>3</v>
      </c>
      <c r="K58" s="20" t="s">
        <v>191</v>
      </c>
      <c r="L58" s="19" t="s">
        <v>15</v>
      </c>
    </row>
    <row r="59" spans="1:12" ht="96.75" customHeight="1" x14ac:dyDescent="0.3">
      <c r="A59" s="3">
        <f t="shared" si="0"/>
        <v>32</v>
      </c>
      <c r="B59" s="9" t="s">
        <v>195</v>
      </c>
      <c r="C59" s="9">
        <v>5</v>
      </c>
      <c r="D59" s="9" t="s">
        <v>14</v>
      </c>
      <c r="E59" s="16" t="s">
        <v>196</v>
      </c>
      <c r="F59" s="16" t="s">
        <v>197</v>
      </c>
      <c r="G59" s="16" t="s">
        <v>174</v>
      </c>
      <c r="H59" s="16" t="s">
        <v>91</v>
      </c>
      <c r="I59" s="9">
        <v>1.2</v>
      </c>
      <c r="J59" s="9">
        <v>4</v>
      </c>
      <c r="K59" s="16" t="s">
        <v>192</v>
      </c>
      <c r="L59" s="9" t="s">
        <v>15</v>
      </c>
    </row>
    <row r="60" spans="1:12" ht="90.75" customHeight="1" x14ac:dyDescent="0.3">
      <c r="A60" s="3">
        <f t="shared" si="0"/>
        <v>33</v>
      </c>
      <c r="B60" s="3" t="s">
        <v>231</v>
      </c>
      <c r="C60" s="3">
        <v>2</v>
      </c>
      <c r="D60" s="3" t="s">
        <v>215</v>
      </c>
      <c r="E60" s="2" t="s">
        <v>232</v>
      </c>
      <c r="F60" s="2" t="s">
        <v>233</v>
      </c>
      <c r="G60" s="2" t="s">
        <v>234</v>
      </c>
      <c r="H60" s="2" t="s">
        <v>235</v>
      </c>
      <c r="I60" s="3" t="s">
        <v>280</v>
      </c>
      <c r="J60" s="3" t="s">
        <v>103</v>
      </c>
      <c r="K60" s="2" t="s">
        <v>261</v>
      </c>
      <c r="L60" s="3" t="s">
        <v>208</v>
      </c>
    </row>
    <row r="61" spans="1:12" ht="78" customHeight="1" x14ac:dyDescent="0.3">
      <c r="A61" s="3">
        <f t="shared" si="0"/>
        <v>34</v>
      </c>
      <c r="B61" s="3" t="s">
        <v>236</v>
      </c>
      <c r="C61" s="3" t="s">
        <v>237</v>
      </c>
      <c r="D61" s="3" t="s">
        <v>215</v>
      </c>
      <c r="E61" s="2" t="s">
        <v>238</v>
      </c>
      <c r="F61" s="2" t="s">
        <v>239</v>
      </c>
      <c r="G61" s="2" t="s">
        <v>240</v>
      </c>
      <c r="H61" s="2" t="s">
        <v>241</v>
      </c>
      <c r="I61" s="3">
        <v>3</v>
      </c>
      <c r="J61" s="3" t="s">
        <v>62</v>
      </c>
      <c r="K61" s="2" t="s">
        <v>262</v>
      </c>
      <c r="L61" s="3" t="s">
        <v>208</v>
      </c>
    </row>
    <row r="62" spans="1:12" ht="85.5" customHeight="1" x14ac:dyDescent="0.3">
      <c r="A62" s="3">
        <f t="shared" si="0"/>
        <v>35</v>
      </c>
      <c r="B62" s="9" t="s">
        <v>230</v>
      </c>
      <c r="C62" s="9">
        <v>6</v>
      </c>
      <c r="D62" s="9" t="s">
        <v>14</v>
      </c>
      <c r="E62" s="16" t="s">
        <v>175</v>
      </c>
      <c r="F62" s="16" t="s">
        <v>176</v>
      </c>
      <c r="G62" s="16" t="s">
        <v>177</v>
      </c>
      <c r="H62" s="16" t="s">
        <v>188</v>
      </c>
      <c r="I62" s="9">
        <v>2</v>
      </c>
      <c r="J62" s="9" t="s">
        <v>280</v>
      </c>
      <c r="K62" s="16" t="s">
        <v>193</v>
      </c>
      <c r="L62" s="9" t="s">
        <v>15</v>
      </c>
    </row>
    <row r="63" spans="1:12" ht="75" customHeight="1" x14ac:dyDescent="0.3">
      <c r="A63" s="3">
        <f t="shared" si="0"/>
        <v>36</v>
      </c>
      <c r="B63" s="3" t="s">
        <v>242</v>
      </c>
      <c r="C63" s="3" t="s">
        <v>237</v>
      </c>
      <c r="D63" s="3" t="s">
        <v>215</v>
      </c>
      <c r="E63" s="2" t="s">
        <v>243</v>
      </c>
      <c r="F63" s="2" t="s">
        <v>244</v>
      </c>
      <c r="G63" s="2" t="s">
        <v>245</v>
      </c>
      <c r="H63" s="2" t="s">
        <v>246</v>
      </c>
      <c r="I63" s="3">
        <v>2</v>
      </c>
      <c r="J63" s="3">
        <v>4</v>
      </c>
      <c r="K63" s="2" t="s">
        <v>260</v>
      </c>
      <c r="L63" s="3" t="s">
        <v>61</v>
      </c>
    </row>
    <row r="64" spans="1:12" ht="64.5" customHeight="1" x14ac:dyDescent="0.3">
      <c r="A64" s="3">
        <f t="shared" si="0"/>
        <v>37</v>
      </c>
      <c r="B64" s="3" t="s">
        <v>247</v>
      </c>
      <c r="C64" s="3">
        <v>7</v>
      </c>
      <c r="D64" s="3" t="s">
        <v>14</v>
      </c>
      <c r="E64" s="2" t="s">
        <v>248</v>
      </c>
      <c r="F64" s="2" t="s">
        <v>249</v>
      </c>
      <c r="G64" s="2" t="s">
        <v>250</v>
      </c>
      <c r="H64" s="2" t="s">
        <v>251</v>
      </c>
      <c r="I64" s="3">
        <v>5</v>
      </c>
      <c r="J64" s="3">
        <v>5</v>
      </c>
      <c r="K64" s="2" t="s">
        <v>252</v>
      </c>
      <c r="L64" s="3" t="s">
        <v>15</v>
      </c>
    </row>
    <row r="65" spans="1:12" ht="106.5" customHeight="1" x14ac:dyDescent="0.3">
      <c r="A65" s="3">
        <f t="shared" si="0"/>
        <v>38</v>
      </c>
      <c r="B65" s="9" t="s">
        <v>179</v>
      </c>
      <c r="C65" s="9">
        <v>7</v>
      </c>
      <c r="D65" s="9" t="s">
        <v>180</v>
      </c>
      <c r="E65" s="16" t="s">
        <v>181</v>
      </c>
      <c r="F65" s="16" t="s">
        <v>182</v>
      </c>
      <c r="G65" s="16" t="s">
        <v>183</v>
      </c>
      <c r="H65" s="16" t="s">
        <v>184</v>
      </c>
      <c r="I65" s="9">
        <v>2</v>
      </c>
      <c r="J65" s="9" t="s">
        <v>281</v>
      </c>
      <c r="K65" s="16" t="s">
        <v>194</v>
      </c>
      <c r="L65" s="9" t="s">
        <v>15</v>
      </c>
    </row>
    <row r="66" spans="1:12" ht="93" customHeight="1" x14ac:dyDescent="0.3">
      <c r="A66" s="3">
        <f t="shared" si="0"/>
        <v>39</v>
      </c>
      <c r="B66" s="3" t="s">
        <v>253</v>
      </c>
      <c r="C66" s="3">
        <v>7</v>
      </c>
      <c r="D66" s="3" t="s">
        <v>254</v>
      </c>
      <c r="E66" s="2" t="s">
        <v>255</v>
      </c>
      <c r="F66" s="2" t="s">
        <v>256</v>
      </c>
      <c r="G66" s="2" t="s">
        <v>257</v>
      </c>
      <c r="H66" s="2" t="s">
        <v>258</v>
      </c>
      <c r="I66" s="3">
        <v>5</v>
      </c>
      <c r="J66" s="3">
        <v>5</v>
      </c>
      <c r="K66" s="2" t="s">
        <v>259</v>
      </c>
      <c r="L66" s="3" t="s">
        <v>208</v>
      </c>
    </row>
    <row r="67" spans="1:12" ht="86.25" customHeight="1" x14ac:dyDescent="0.3">
      <c r="A67" s="3">
        <f t="shared" si="0"/>
        <v>40</v>
      </c>
      <c r="B67" s="21" t="s">
        <v>198</v>
      </c>
      <c r="C67" s="21">
        <v>2</v>
      </c>
      <c r="D67" s="21" t="s">
        <v>14</v>
      </c>
      <c r="E67" s="22" t="s">
        <v>199</v>
      </c>
      <c r="F67" s="22" t="s">
        <v>200</v>
      </c>
      <c r="G67" s="22" t="s">
        <v>201</v>
      </c>
      <c r="H67" s="22" t="s">
        <v>202</v>
      </c>
      <c r="I67" s="21">
        <v>3</v>
      </c>
      <c r="J67" s="21" t="s">
        <v>173</v>
      </c>
      <c r="K67" s="22" t="s">
        <v>225</v>
      </c>
      <c r="L67" s="21" t="s">
        <v>61</v>
      </c>
    </row>
    <row r="68" spans="1:12" ht="75" customHeight="1" x14ac:dyDescent="0.3">
      <c r="A68" s="3">
        <f t="shared" si="0"/>
        <v>41</v>
      </c>
      <c r="B68" s="3" t="s">
        <v>203</v>
      </c>
      <c r="C68" s="3">
        <v>2</v>
      </c>
      <c r="D68" s="3" t="s">
        <v>14</v>
      </c>
      <c r="E68" s="2" t="s">
        <v>204</v>
      </c>
      <c r="F68" s="2" t="s">
        <v>205</v>
      </c>
      <c r="G68" s="2" t="s">
        <v>206</v>
      </c>
      <c r="H68" s="2" t="s">
        <v>207</v>
      </c>
      <c r="I68" s="3">
        <v>3</v>
      </c>
      <c r="J68" s="3" t="s">
        <v>62</v>
      </c>
      <c r="K68" s="2" t="s">
        <v>226</v>
      </c>
      <c r="L68" s="3" t="s">
        <v>208</v>
      </c>
    </row>
    <row r="69" spans="1:12" ht="95.25" customHeight="1" x14ac:dyDescent="0.3">
      <c r="A69" s="3">
        <f t="shared" si="0"/>
        <v>42</v>
      </c>
      <c r="B69" s="3" t="s">
        <v>209</v>
      </c>
      <c r="C69" s="3">
        <v>2</v>
      </c>
      <c r="D69" s="3" t="s">
        <v>14</v>
      </c>
      <c r="E69" s="2" t="s">
        <v>210</v>
      </c>
      <c r="F69" s="2" t="s">
        <v>211</v>
      </c>
      <c r="G69" s="2" t="s">
        <v>212</v>
      </c>
      <c r="H69" s="2" t="s">
        <v>213</v>
      </c>
      <c r="I69" s="3">
        <v>3</v>
      </c>
      <c r="J69" s="3" t="s">
        <v>62</v>
      </c>
      <c r="K69" s="2" t="s">
        <v>227</v>
      </c>
      <c r="L69" s="3" t="s">
        <v>208</v>
      </c>
    </row>
    <row r="70" spans="1:12" ht="71.25" customHeight="1" x14ac:dyDescent="0.3">
      <c r="A70" s="3">
        <f t="shared" si="0"/>
        <v>43</v>
      </c>
      <c r="B70" s="3" t="s">
        <v>214</v>
      </c>
      <c r="C70" s="3">
        <v>2</v>
      </c>
      <c r="D70" s="3" t="s">
        <v>215</v>
      </c>
      <c r="E70" s="2" t="s">
        <v>216</v>
      </c>
      <c r="F70" s="2" t="s">
        <v>217</v>
      </c>
      <c r="G70" s="2" t="s">
        <v>218</v>
      </c>
      <c r="H70" s="2" t="s">
        <v>219</v>
      </c>
      <c r="I70" s="3" t="s">
        <v>62</v>
      </c>
      <c r="J70" s="3" t="s">
        <v>103</v>
      </c>
      <c r="K70" s="2" t="s">
        <v>228</v>
      </c>
      <c r="L70" s="3" t="s">
        <v>208</v>
      </c>
    </row>
    <row r="71" spans="1:12" ht="80.25" customHeight="1" x14ac:dyDescent="0.3">
      <c r="A71" s="3">
        <f t="shared" si="0"/>
        <v>44</v>
      </c>
      <c r="B71" s="3" t="s">
        <v>220</v>
      </c>
      <c r="C71" s="3">
        <v>2</v>
      </c>
      <c r="D71" s="3" t="s">
        <v>215</v>
      </c>
      <c r="E71" s="2" t="s">
        <v>221</v>
      </c>
      <c r="F71" s="2" t="s">
        <v>222</v>
      </c>
      <c r="G71" s="2" t="s">
        <v>223</v>
      </c>
      <c r="H71" s="2" t="s">
        <v>224</v>
      </c>
      <c r="I71" s="3">
        <v>3</v>
      </c>
      <c r="J71" s="3" t="s">
        <v>62</v>
      </c>
      <c r="K71" s="2" t="s">
        <v>229</v>
      </c>
      <c r="L71" s="3" t="s">
        <v>15</v>
      </c>
    </row>
  </sheetData>
  <mergeCells count="79">
    <mergeCell ref="A1:L1"/>
    <mergeCell ref="A2:L2"/>
    <mergeCell ref="A3:L3"/>
    <mergeCell ref="A4:L4"/>
    <mergeCell ref="A17:A20"/>
    <mergeCell ref="C17:C20"/>
    <mergeCell ref="D17:D20"/>
    <mergeCell ref="E17:E20"/>
    <mergeCell ref="G17:G20"/>
    <mergeCell ref="H17:H20"/>
    <mergeCell ref="I17:I20"/>
    <mergeCell ref="J17:J20"/>
    <mergeCell ref="K17:K20"/>
    <mergeCell ref="L17:L20"/>
    <mergeCell ref="B17:B20"/>
    <mergeCell ref="K30:K31"/>
    <mergeCell ref="L30:L31"/>
    <mergeCell ref="A21:A29"/>
    <mergeCell ref="C21:C29"/>
    <mergeCell ref="D21:D29"/>
    <mergeCell ref="E21:E29"/>
    <mergeCell ref="G21:G29"/>
    <mergeCell ref="B21:B29"/>
    <mergeCell ref="H21:H29"/>
    <mergeCell ref="I21:I29"/>
    <mergeCell ref="J21:J29"/>
    <mergeCell ref="K21:K29"/>
    <mergeCell ref="L21:L29"/>
    <mergeCell ref="G30:G31"/>
    <mergeCell ref="B30:B31"/>
    <mergeCell ref="H30:H31"/>
    <mergeCell ref="I30:I31"/>
    <mergeCell ref="J30:J31"/>
    <mergeCell ref="F39:F40"/>
    <mergeCell ref="D37:D38"/>
    <mergeCell ref="E37:E38"/>
    <mergeCell ref="F37:F38"/>
    <mergeCell ref="H39:H40"/>
    <mergeCell ref="I39:I40"/>
    <mergeCell ref="J39:J40"/>
    <mergeCell ref="A30:A31"/>
    <mergeCell ref="C30:C31"/>
    <mergeCell ref="D30:D31"/>
    <mergeCell ref="E30:E31"/>
    <mergeCell ref="L39:L40"/>
    <mergeCell ref="G39:G40"/>
    <mergeCell ref="I33:I34"/>
    <mergeCell ref="J33:J34"/>
    <mergeCell ref="K33:K34"/>
    <mergeCell ref="L33:L34"/>
    <mergeCell ref="G37:G38"/>
    <mergeCell ref="H37:H38"/>
    <mergeCell ref="I37:I38"/>
    <mergeCell ref="J37:J38"/>
    <mergeCell ref="K37:K38"/>
    <mergeCell ref="L37:L38"/>
    <mergeCell ref="L35:L36"/>
    <mergeCell ref="C37:C38"/>
    <mergeCell ref="G35:G36"/>
    <mergeCell ref="H35:H36"/>
    <mergeCell ref="I35:I36"/>
    <mergeCell ref="J35:J36"/>
    <mergeCell ref="K35:K36"/>
    <mergeCell ref="D35:D36"/>
    <mergeCell ref="E35:E36"/>
    <mergeCell ref="F35:F36"/>
    <mergeCell ref="K39:K40"/>
    <mergeCell ref="A32:A40"/>
    <mergeCell ref="C35:C36"/>
    <mergeCell ref="B32:B40"/>
    <mergeCell ref="C33:C34"/>
    <mergeCell ref="D33:D34"/>
    <mergeCell ref="E33:E34"/>
    <mergeCell ref="F33:F34"/>
    <mergeCell ref="G33:G34"/>
    <mergeCell ref="H33:H34"/>
    <mergeCell ref="C39:C40"/>
    <mergeCell ref="D39:D40"/>
    <mergeCell ref="E39:E40"/>
  </mergeCells>
  <pageMargins left="0.51181102362204722" right="0.43307086614173229" top="0.59" bottom="0.62992125984251968" header="0.31496062992125984" footer="0.31496062992125984"/>
  <pageSetup paperSize="9" scale="6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2A69-6DA1-4161-BF46-5FEA762DAEB0}">
  <dimension ref="A1:D34"/>
  <sheetViews>
    <sheetView tabSelected="1" view="pageBreakPreview" zoomScaleNormal="100" zoomScaleSheetLayoutView="100" workbookViewId="0">
      <selection activeCell="D10" sqref="D10"/>
    </sheetView>
  </sheetViews>
  <sheetFormatPr defaultColWidth="8.88671875" defaultRowHeight="15.6" x14ac:dyDescent="0.3"/>
  <cols>
    <col min="1" max="1" width="8.88671875" style="8"/>
    <col min="2" max="2" width="14.33203125" style="8" customWidth="1"/>
    <col min="3" max="3" width="47" style="5" customWidth="1"/>
    <col min="4" max="4" width="61.109375" style="5" customWidth="1"/>
    <col min="5" max="16384" width="8.88671875" style="5"/>
  </cols>
  <sheetData>
    <row r="1" spans="1:4" x14ac:dyDescent="0.3">
      <c r="A1" s="30" t="s">
        <v>17</v>
      </c>
      <c r="B1" s="30"/>
      <c r="C1" s="30"/>
      <c r="D1" s="30"/>
    </row>
    <row r="2" spans="1:4" x14ac:dyDescent="0.3">
      <c r="A2" s="30" t="s">
        <v>18</v>
      </c>
      <c r="B2" s="30"/>
      <c r="C2" s="30"/>
      <c r="D2" s="30"/>
    </row>
    <row r="3" spans="1:4" x14ac:dyDescent="0.3">
      <c r="A3" s="31" t="s">
        <v>152</v>
      </c>
      <c r="B3" s="31"/>
      <c r="C3" s="31"/>
      <c r="D3" s="31"/>
    </row>
    <row r="4" spans="1:4" x14ac:dyDescent="0.3">
      <c r="A4" s="30" t="s">
        <v>151</v>
      </c>
      <c r="B4" s="30"/>
      <c r="C4" s="30"/>
      <c r="D4" s="30"/>
    </row>
    <row r="5" spans="1:4" x14ac:dyDescent="0.3">
      <c r="A5" s="6"/>
      <c r="B5" s="6"/>
      <c r="C5" s="6"/>
      <c r="D5" s="6"/>
    </row>
    <row r="6" spans="1:4" ht="31.2" x14ac:dyDescent="0.3">
      <c r="A6" s="29" t="s">
        <v>19</v>
      </c>
      <c r="B6" s="29" t="s">
        <v>3</v>
      </c>
      <c r="C6" s="29" t="s">
        <v>20</v>
      </c>
      <c r="D6" s="29" t="s">
        <v>21</v>
      </c>
    </row>
    <row r="7" spans="1:4" ht="31.2" x14ac:dyDescent="0.3">
      <c r="A7" s="7">
        <v>1</v>
      </c>
      <c r="B7" s="3" t="s">
        <v>149</v>
      </c>
      <c r="C7" s="1" t="s">
        <v>312</v>
      </c>
      <c r="D7" s="2" t="s">
        <v>150</v>
      </c>
    </row>
    <row r="8" spans="1:4" ht="31.2" x14ac:dyDescent="0.3">
      <c r="A8" s="7">
        <f>A7+1</f>
        <v>2</v>
      </c>
      <c r="B8" s="3" t="s">
        <v>284</v>
      </c>
      <c r="C8" s="2" t="s">
        <v>285</v>
      </c>
      <c r="D8" s="2" t="s">
        <v>286</v>
      </c>
    </row>
    <row r="9" spans="1:4" ht="62.4" x14ac:dyDescent="0.3">
      <c r="A9" s="7">
        <f t="shared" ref="A9:A34" si="0">A8+1</f>
        <v>3</v>
      </c>
      <c r="B9" s="3" t="str">
        <f>'PL01'!B47</f>
        <v>ĐT-02</v>
      </c>
      <c r="C9" s="4" t="str">
        <f>'PL01'!E47</f>
        <v>Kế hoạch vốn đầu tư công</v>
      </c>
      <c r="D9" s="2" t="s">
        <v>85</v>
      </c>
    </row>
    <row r="10" spans="1:4" ht="62.4" x14ac:dyDescent="0.3">
      <c r="A10" s="7">
        <f t="shared" si="0"/>
        <v>4</v>
      </c>
      <c r="B10" s="3" t="str">
        <f>'PL01'!B46</f>
        <v>ĐT-01</v>
      </c>
      <c r="C10" s="4" t="str">
        <f>'PL01'!E46</f>
        <v>Chủ trương và quyết định đầu tư</v>
      </c>
      <c r="D10" s="2" t="s">
        <v>84</v>
      </c>
    </row>
    <row r="11" spans="1:4" ht="62.4" x14ac:dyDescent="0.3">
      <c r="A11" s="7">
        <f t="shared" si="0"/>
        <v>5</v>
      </c>
      <c r="B11" s="3" t="str">
        <f>'PL01'!B52</f>
        <v>ĐT-07</v>
      </c>
      <c r="C11" s="4" t="str">
        <f>'PL01'!E52</f>
        <v>Quyết toán dự án</v>
      </c>
      <c r="D11" s="2" t="s">
        <v>83</v>
      </c>
    </row>
    <row r="12" spans="1:4" ht="62.4" x14ac:dyDescent="0.3">
      <c r="A12" s="7">
        <f t="shared" si="0"/>
        <v>6</v>
      </c>
      <c r="B12" s="3" t="s">
        <v>164</v>
      </c>
      <c r="C12" s="2" t="s">
        <v>300</v>
      </c>
      <c r="D12" s="2" t="s">
        <v>301</v>
      </c>
    </row>
    <row r="13" spans="1:4" ht="93.6" x14ac:dyDescent="0.3">
      <c r="A13" s="7">
        <f t="shared" si="0"/>
        <v>7</v>
      </c>
      <c r="B13" s="3" t="s">
        <v>179</v>
      </c>
      <c r="C13" s="2" t="s">
        <v>302</v>
      </c>
      <c r="D13" s="2" t="s">
        <v>303</v>
      </c>
    </row>
    <row r="14" spans="1:4" ht="62.4" x14ac:dyDescent="0.3">
      <c r="A14" s="7">
        <f t="shared" si="0"/>
        <v>8</v>
      </c>
      <c r="B14" s="3" t="s">
        <v>138</v>
      </c>
      <c r="C14" s="2" t="s">
        <v>304</v>
      </c>
      <c r="D14" s="2" t="s">
        <v>139</v>
      </c>
    </row>
    <row r="15" spans="1:4" ht="62.4" x14ac:dyDescent="0.3">
      <c r="A15" s="7">
        <f t="shared" si="0"/>
        <v>9</v>
      </c>
      <c r="B15" s="3" t="s">
        <v>138</v>
      </c>
      <c r="C15" s="2" t="s">
        <v>305</v>
      </c>
      <c r="D15" s="2" t="s">
        <v>140</v>
      </c>
    </row>
    <row r="16" spans="1:4" ht="46.8" x14ac:dyDescent="0.3">
      <c r="A16" s="7">
        <f t="shared" si="0"/>
        <v>10</v>
      </c>
      <c r="B16" s="3" t="s">
        <v>138</v>
      </c>
      <c r="C16" s="2" t="s">
        <v>306</v>
      </c>
      <c r="D16" s="2" t="s">
        <v>141</v>
      </c>
    </row>
    <row r="17" spans="1:4" ht="62.4" x14ac:dyDescent="0.3">
      <c r="A17" s="7">
        <f t="shared" si="0"/>
        <v>11</v>
      </c>
      <c r="B17" s="3" t="str">
        <f>'PL01'!B50</f>
        <v>ĐT-05</v>
      </c>
      <c r="C17" s="4" t="str">
        <f>'PL01'!E50</f>
        <v xml:space="preserve"> Hợp đồng</v>
      </c>
      <c r="D17" s="2" t="s">
        <v>82</v>
      </c>
    </row>
    <row r="18" spans="1:4" ht="78" x14ac:dyDescent="0.3">
      <c r="A18" s="7">
        <f t="shared" si="0"/>
        <v>12</v>
      </c>
      <c r="B18" s="3" t="str">
        <f>'PL01'!B51</f>
        <v>ĐT-06</v>
      </c>
      <c r="C18" s="4" t="str">
        <f>'PL01'!E51</f>
        <v>Nghiệm thu, thanh toán</v>
      </c>
      <c r="D18" s="2" t="s">
        <v>146</v>
      </c>
    </row>
    <row r="19" spans="1:4" ht="62.4" x14ac:dyDescent="0.3">
      <c r="A19" s="7">
        <f t="shared" si="0"/>
        <v>13</v>
      </c>
      <c r="B19" s="3" t="str">
        <f>'PL01'!B48</f>
        <v>ĐT-03</v>
      </c>
      <c r="C19" s="4" t="str">
        <f>'PL01'!E48</f>
        <v>Thiết kế, dự toán</v>
      </c>
      <c r="D19" s="2" t="s">
        <v>81</v>
      </c>
    </row>
    <row r="20" spans="1:4" ht="62.4" x14ac:dyDescent="0.3">
      <c r="A20" s="7">
        <f t="shared" si="0"/>
        <v>14</v>
      </c>
      <c r="B20" s="3" t="str">
        <f>'PL01'!B49</f>
        <v>ĐT-04</v>
      </c>
      <c r="C20" s="4" t="str">
        <f>'PL01'!E49</f>
        <v xml:space="preserve"> Lựa chọn nhà thầu</v>
      </c>
      <c r="D20" s="2" t="s">
        <v>80</v>
      </c>
    </row>
    <row r="21" spans="1:4" ht="62.4" x14ac:dyDescent="0.3">
      <c r="A21" s="7">
        <f t="shared" si="0"/>
        <v>15</v>
      </c>
      <c r="B21" s="3" t="str">
        <f>'PL01'!B53</f>
        <v>ĐT-08</v>
      </c>
      <c r="C21" s="4" t="str">
        <f>'PL01'!E53</f>
        <v xml:space="preserve"> Định mức, đơn giá</v>
      </c>
      <c r="D21" s="2" t="s">
        <v>86</v>
      </c>
    </row>
    <row r="22" spans="1:4" ht="46.8" x14ac:dyDescent="0.3">
      <c r="A22" s="7">
        <f t="shared" si="0"/>
        <v>16</v>
      </c>
      <c r="B22" s="3" t="s">
        <v>138</v>
      </c>
      <c r="C22" s="2" t="s">
        <v>307</v>
      </c>
      <c r="D22" s="2" t="s">
        <v>142</v>
      </c>
    </row>
    <row r="23" spans="1:4" ht="31.2" x14ac:dyDescent="0.3">
      <c r="A23" s="7">
        <f t="shared" si="0"/>
        <v>17</v>
      </c>
      <c r="B23" s="3" t="s">
        <v>153</v>
      </c>
      <c r="C23" s="2" t="s">
        <v>293</v>
      </c>
      <c r="D23" s="2" t="s">
        <v>294</v>
      </c>
    </row>
    <row r="24" spans="1:4" ht="78" x14ac:dyDescent="0.3">
      <c r="A24" s="7">
        <f t="shared" si="0"/>
        <v>18</v>
      </c>
      <c r="B24" s="3" t="s">
        <v>138</v>
      </c>
      <c r="C24" s="2" t="s">
        <v>308</v>
      </c>
      <c r="D24" s="2" t="s">
        <v>143</v>
      </c>
    </row>
    <row r="25" spans="1:4" ht="78" x14ac:dyDescent="0.3">
      <c r="A25" s="7">
        <f t="shared" si="0"/>
        <v>19</v>
      </c>
      <c r="B25" s="3" t="s">
        <v>138</v>
      </c>
      <c r="C25" s="2" t="s">
        <v>309</v>
      </c>
      <c r="D25" s="2" t="s">
        <v>143</v>
      </c>
    </row>
    <row r="26" spans="1:4" ht="62.4" x14ac:dyDescent="0.3">
      <c r="A26" s="7">
        <f t="shared" si="0"/>
        <v>20</v>
      </c>
      <c r="B26" s="3" t="s">
        <v>138</v>
      </c>
      <c r="C26" s="2" t="s">
        <v>310</v>
      </c>
      <c r="D26" s="2" t="s">
        <v>144</v>
      </c>
    </row>
    <row r="27" spans="1:4" ht="46.8" x14ac:dyDescent="0.3">
      <c r="A27" s="7">
        <f t="shared" si="0"/>
        <v>21</v>
      </c>
      <c r="B27" s="3" t="s">
        <v>138</v>
      </c>
      <c r="C27" s="2" t="s">
        <v>311</v>
      </c>
      <c r="D27" s="2" t="s">
        <v>145</v>
      </c>
    </row>
    <row r="28" spans="1:4" ht="46.8" x14ac:dyDescent="0.3">
      <c r="A28" s="7">
        <f t="shared" si="0"/>
        <v>22</v>
      </c>
      <c r="B28" s="3" t="str">
        <f>'PL01'!B54</f>
        <v>ĐT-09</v>
      </c>
      <c r="C28" s="4" t="str">
        <f>'PL01'!E54</f>
        <v xml:space="preserve"> Đất đai, giải phóng mặt bằng</v>
      </c>
      <c r="D28" s="2" t="s">
        <v>87</v>
      </c>
    </row>
    <row r="29" spans="1:4" ht="46.8" x14ac:dyDescent="0.3">
      <c r="A29" s="7">
        <f t="shared" si="0"/>
        <v>23</v>
      </c>
      <c r="B29" s="3" t="s">
        <v>230</v>
      </c>
      <c r="C29" s="2" t="s">
        <v>282</v>
      </c>
      <c r="D29" s="2" t="s">
        <v>283</v>
      </c>
    </row>
    <row r="30" spans="1:4" ht="46.8" x14ac:dyDescent="0.3">
      <c r="A30" s="7">
        <f t="shared" si="0"/>
        <v>24</v>
      </c>
      <c r="B30" s="3" t="s">
        <v>263</v>
      </c>
      <c r="C30" s="2" t="s">
        <v>264</v>
      </c>
      <c r="D30" s="2" t="s">
        <v>287</v>
      </c>
    </row>
    <row r="31" spans="1:4" ht="62.4" x14ac:dyDescent="0.3">
      <c r="A31" s="7">
        <f t="shared" si="0"/>
        <v>25</v>
      </c>
      <c r="B31" s="3" t="str">
        <f>'PL01'!B55</f>
        <v>ĐT-10</v>
      </c>
      <c r="C31" s="4" t="str">
        <f>'PL01'!E55</f>
        <v xml:space="preserve"> Bản đồ, hiện trạng công trình</v>
      </c>
      <c r="D31" s="2" t="s">
        <v>88</v>
      </c>
    </row>
    <row r="32" spans="1:4" ht="31.2" x14ac:dyDescent="0.3">
      <c r="A32" s="7">
        <f t="shared" si="0"/>
        <v>26</v>
      </c>
      <c r="B32" s="3" t="s">
        <v>236</v>
      </c>
      <c r="C32" s="2" t="s">
        <v>291</v>
      </c>
      <c r="D32" s="2" t="s">
        <v>292</v>
      </c>
    </row>
    <row r="33" spans="1:4" ht="46.8" x14ac:dyDescent="0.3">
      <c r="A33" s="7">
        <f t="shared" si="0"/>
        <v>27</v>
      </c>
      <c r="B33" s="3" t="s">
        <v>198</v>
      </c>
      <c r="C33" s="2" t="s">
        <v>288</v>
      </c>
      <c r="D33" s="2" t="s">
        <v>289</v>
      </c>
    </row>
    <row r="34" spans="1:4" ht="46.8" x14ac:dyDescent="0.3">
      <c r="A34" s="7">
        <f t="shared" si="0"/>
        <v>28</v>
      </c>
      <c r="B34" s="3" t="s">
        <v>272</v>
      </c>
      <c r="C34" s="2" t="s">
        <v>273</v>
      </c>
      <c r="D34" s="2" t="s">
        <v>290</v>
      </c>
    </row>
  </sheetData>
  <autoFilter ref="A6:D6" xr:uid="{9F512A69-6DA1-4161-BF46-5FEA762DAEB0}"/>
  <mergeCells count="4">
    <mergeCell ref="A1:D1"/>
    <mergeCell ref="A2:D2"/>
    <mergeCell ref="A3:D3"/>
    <mergeCell ref="A4:D4"/>
  </mergeCells>
  <printOptions horizontalCentered="1"/>
  <pageMargins left="0.9055118110236221" right="0.51181102362204722" top="0.74803149606299213" bottom="0.74803149606299213" header="0.31496062992125984" footer="0.31496062992125984"/>
  <pageSetup paperSize="9" scale="66" orientation="portrait"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PL01</vt:lpstr>
      <vt:lpstr>PL02</vt:lpstr>
      <vt:lpstr>'PL01'!bookmark10</vt:lpstr>
      <vt:lpstr>'PL02'!bookmark13</vt:lpstr>
      <vt:lpstr>'PL01'!Print_Titles</vt:lpstr>
      <vt:lpstr>'PL02'!Print_Titles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Hùng</dc:creator>
  <cp:lastModifiedBy>Tuấn Lộc Diệp</cp:lastModifiedBy>
  <cp:lastPrinted>2026-09-29T08:08:28Z</cp:lastPrinted>
  <dcterms:created xsi:type="dcterms:W3CDTF">2015-06-05T18:17:20Z</dcterms:created>
  <dcterms:modified xsi:type="dcterms:W3CDTF">2026-09-29T08:08:29Z</dcterms:modified>
</cp:coreProperties>
</file>